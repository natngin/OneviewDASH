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PARAMETER" sheetId="2" state="visible" r:id="rId2"/>
    <sheet name="GENERATOR" sheetId="3" state="visible" r:id="rId3"/>
    <sheet name="INPUT" sheetId="4" state="visible" r:id="rId4"/>
    <sheet name="SK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0F172A"/>
      <sz val="11"/>
    </font>
    <font>
      <name val="Segoe UI"/>
      <color rgb="001E293B"/>
      <sz val="10"/>
    </font>
    <font>
      <name val="Segoe UI"/>
      <i val="1"/>
      <color rgb="00475569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Consolas"/>
      <color rgb="000F172A"/>
      <sz val="9.5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7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ONEVIEW — SIMULATOR TELEMETRI SENSOR &amp; UJI SKENARIO ALARM ML</t>
        </is>
      </c>
    </row>
    <row r="3">
      <c r="A3" s="2" t="inlineStr">
        <is>
          <t>1. TUJUAN &amp; FUNGSI WORKBOOK</t>
        </is>
      </c>
    </row>
    <row r="4">
      <c r="A4" s="3" t="inlineStr">
        <is>
          <t>Workbook ini digunakan untuk menyimulasikan telemetri sensor 72-jam (per jam) dan menguji respons modul ML Alarm Dini.</t>
        </is>
      </c>
    </row>
    <row r="5">
      <c r="A5" s="3" t="inlineStr">
        <is>
          <t>Sistem ONEVIEW membaca berkas ini secara hot-reload (setiap 1-2 detik) tanpa perlu me-restart server backend.</t>
        </is>
      </c>
    </row>
    <row r="7">
      <c r="A7" s="2" t="inlineStr">
        <is>
          <t>2. CARA PENGGUNAAN CEPAT</t>
        </is>
      </c>
    </row>
    <row r="8">
      <c r="A8" s="3" t="inlineStr">
        <is>
          <t>a. Buka sheet 'PARAMETER'. Pilih Tag peralatan dan Mode pola dari menu dropdown.</t>
        </is>
      </c>
    </row>
    <row r="9">
      <c r="A9" s="3" t="inlineStr">
        <is>
          <t>b. Atur parameter pendukung (Nilai Dasar, Laju Beban, Slope Kenaikan, dsb.).</t>
        </is>
      </c>
    </row>
    <row r="10">
      <c r="A10" s="3" t="inlineStr">
        <is>
          <t>c. Sheet 'GENERATOR' akan secara otomatis menghitung 72 jam data telemetri berbasis rumus deterministik.</t>
        </is>
      </c>
    </row>
    <row r="11">
      <c r="A11" s="3" t="inlineStr">
        <is>
          <t>d. Jika ingin memasukkan data manual, buka sheet 'INPUT' dan ubah Sumber Data di sheet PARAMETER menjadi 'INPUT_MANUAL'.</t>
        </is>
      </c>
    </row>
    <row r="12">
      <c r="A12" s="3" t="inlineStr">
        <is>
          <t>e. Simpan berkas di Microsoft Excel (Ctrl + S) agar rumus terhitung (menghasilkan cached values).</t>
        </is>
      </c>
    </row>
    <row r="13">
      <c r="A13" s="3" t="inlineStr">
        <is>
          <t>f. Amati hasil evaluasi status, estimasi waktu menuju trip (TTT), dan rekomendasi CAPA di Dashboard ONEVIEW (Tab Alarms).</t>
        </is>
      </c>
    </row>
    <row r="15">
      <c r="A15" s="2" t="inlineStr">
        <is>
          <t>3. PRINSIP KESELAMATAN &amp; INTEGRITAS DATA</t>
        </is>
      </c>
    </row>
    <row r="16">
      <c r="A16" s="3" t="inlineStr">
        <is>
          <t>• Seluruh hasil dari berkas ini diberi label 'SIMULASI' dan 'DUMMY DATA' pada antarmuka.</t>
        </is>
      </c>
    </row>
    <row r="17">
      <c r="A17" s="3" t="inlineStr">
        <is>
          <t>• Data dari simulator Excel ini diisolasi penuh: TIDAK PERNAH masuk ke database historis, KPI eksekutif, atau tabel Pareto.</t>
        </is>
      </c>
    </row>
    <row r="18">
      <c r="A18" s="3" t="inlineStr">
        <is>
          <t>• Aturan ambang batas (Alert &amp; Trip) adalah LANTAI KESELAMATAN: jika nilai sensor menyentuh batas aturan, status aturan mutlak ditegakkan.</t>
        </is>
      </c>
    </row>
    <row r="19">
      <c r="A19" s="3" t="inlineStr">
        <is>
          <t>• Time to Trip (TTT) selalu disajikan dalam rentang jam wajar; tidak ada klaim presisi palsu.</t>
        </is>
      </c>
    </row>
    <row r="21">
      <c r="A21" s="2" t="inlineStr">
        <is>
          <t>4. CATATAN PERHITUNGAN RUMUS</t>
        </is>
      </c>
    </row>
    <row r="22">
      <c r="A22" s="4" t="inlineStr">
        <is>
          <t>Jika sel rumus terbaca kosong oleh backend, buka berkas ini di Microsoft Excel dan tekan 'Simpan' (Ctrl + 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44" customWidth="1" min="4" max="4"/>
  </cols>
  <sheetData>
    <row r="1">
      <c r="A1" s="1" t="inlineStr">
        <is>
          <t>KONFIGURASI PARAMETER SIMULASI TELEMETRI</t>
        </is>
      </c>
    </row>
    <row r="3">
      <c r="A3" s="5" t="inlineStr">
        <is>
          <t>Parameter</t>
        </is>
      </c>
      <c r="B3" s="5" t="inlineStr">
        <is>
          <t>Nilai</t>
        </is>
      </c>
      <c r="C3" s="5" t="inlineStr">
        <is>
          <t>Satuan / Keterangan</t>
        </is>
      </c>
      <c r="D3" s="5" t="inlineStr">
        <is>
          <t>Rentang / Opsi Valid</t>
        </is>
      </c>
    </row>
    <row r="4">
      <c r="A4" s="6" t="inlineStr">
        <is>
          <t>Tag Peralatan</t>
        </is>
      </c>
      <c r="B4" s="7" t="inlineStr">
        <is>
          <t>KO-3201</t>
        </is>
      </c>
      <c r="C4" s="8" t="inlineStr">
        <is>
          <t>Tag aset kritis yang diuji</t>
        </is>
      </c>
      <c r="D4" s="9" t="inlineStr">
        <is>
          <t>KO-3201, PM-4405B, HE-3301, BL-5702, PU-2101B</t>
        </is>
      </c>
    </row>
    <row r="5">
      <c r="A5" s="6" t="inlineStr">
        <is>
          <t>Sumber Data</t>
        </is>
      </c>
      <c r="B5" s="7" t="inlineStr">
        <is>
          <t>GENERATOR</t>
        </is>
      </c>
      <c r="C5" s="8" t="inlineStr">
        <is>
          <t>Sumber data yang dibaca backend</t>
        </is>
      </c>
      <c r="D5" s="9" t="inlineStr">
        <is>
          <t>GENERATOR, INPUT_MANUAL</t>
        </is>
      </c>
    </row>
    <row r="6">
      <c r="A6" s="6" t="inlineStr">
        <is>
          <t>Mode Pola</t>
        </is>
      </c>
      <c r="B6" s="7" t="inlineStr">
        <is>
          <t>ramp</t>
        </is>
      </c>
      <c r="C6" s="8" t="inlineStr">
        <is>
          <t>Bentuk tren telemetri sensor</t>
        </is>
      </c>
      <c r="D6" s="9" t="inlineStr">
        <is>
          <t>datar, ramp, lonjakan, spike, flatline, naik_karena_beban</t>
        </is>
      </c>
    </row>
    <row r="7">
      <c r="A7" s="6" t="inlineStr">
        <is>
          <t>Nilai Dasar (Base Value)</t>
        </is>
      </c>
      <c r="B7" s="7" t="n">
        <v>28.5</v>
      </c>
      <c r="C7" s="8" t="inlineStr">
        <is>
          <t>Nilai sensor awal saat normal</t>
        </is>
      </c>
      <c r="D7" s="9" t="inlineStr">
        <is>
          <t>Angka numerik wajar (1 - 500)</t>
        </is>
      </c>
    </row>
    <row r="8">
      <c r="A8" s="6" t="inlineStr">
        <is>
          <t>Laju Beban Dasar (Base Load)</t>
        </is>
      </c>
      <c r="B8" s="7" t="n">
        <v>55</v>
      </c>
      <c r="C8" s="8" t="inlineStr">
        <is>
          <t>Ton/Jam atau Ampere motor</t>
        </is>
      </c>
      <c r="D8" s="9" t="inlineStr">
        <is>
          <t>Angka numerik wajar (5 - 300)</t>
        </is>
      </c>
    </row>
    <row r="9">
      <c r="A9" s="6" t="inlineStr">
        <is>
          <t>Slope Kenaikan (Ramp per Jam)</t>
        </is>
      </c>
      <c r="B9" s="7" t="n">
        <v>0.5</v>
      </c>
      <c r="C9" s="8" t="inlineStr">
        <is>
          <t>Laju kenaikan per jam pada mode ramp</t>
        </is>
      </c>
      <c r="D9" s="9" t="inlineStr">
        <is>
          <t>0.01 - 10.0 per jam</t>
        </is>
      </c>
    </row>
    <row r="10">
      <c r="A10" s="6" t="inlineStr">
        <is>
          <t>Waktu Mulai Lonjakan (Jam)</t>
        </is>
      </c>
      <c r="B10" s="7" t="n">
        <v>48</v>
      </c>
      <c r="C10" s="8" t="inlineStr">
        <is>
          <t>Jam dimulainya kenaikan cepat</t>
        </is>
      </c>
      <c r="D10" s="9" t="inlineStr">
        <is>
          <t>1 - 70</t>
        </is>
      </c>
    </row>
    <row r="11">
      <c r="A11" s="6" t="inlineStr">
        <is>
          <t>Slope Lonjakan per Jam</t>
        </is>
      </c>
      <c r="B11" s="7" t="n">
        <v>1.8</v>
      </c>
      <c r="C11" s="8" t="inlineStr">
        <is>
          <t>Laju kenaikan tajam per jam</t>
        </is>
      </c>
      <c r="D11" s="9" t="inlineStr">
        <is>
          <t>0.1 - 20.0 per jam</t>
        </is>
      </c>
    </row>
    <row r="12">
      <c r="A12" s="6" t="inlineStr">
        <is>
          <t>Waktu Kejadian Spike (Jam)</t>
        </is>
      </c>
      <c r="B12" s="7" t="n">
        <v>36</v>
      </c>
      <c r="C12" s="8" t="inlineStr">
        <is>
          <t>Titik waktu spike sesaat terjadi</t>
        </is>
      </c>
      <c r="D12" s="9" t="inlineStr">
        <is>
          <t>1 - 72</t>
        </is>
      </c>
    </row>
    <row r="13">
      <c r="A13" s="6" t="inlineStr">
        <is>
          <t>Besaran Spike (Magnitude)</t>
        </is>
      </c>
      <c r="B13" s="7" t="n">
        <v>20</v>
      </c>
      <c r="C13" s="8" t="inlineStr">
        <is>
          <t>Besar lonjakan ekstrem sesaat</t>
        </is>
      </c>
      <c r="D13" s="9" t="inlineStr">
        <is>
          <t>1.0 - 100.0</t>
        </is>
      </c>
    </row>
    <row r="14">
      <c r="A14" s="6" t="inlineStr">
        <is>
          <t>Skala Noise Acak</t>
        </is>
      </c>
      <c r="B14" s="7" t="n">
        <v>0.3</v>
      </c>
      <c r="C14" s="8" t="inlineStr">
        <is>
          <t>Amplitudo fluktuasi normal deterministik</t>
        </is>
      </c>
      <c r="D14" s="9" t="inlineStr">
        <is>
          <t>0.0 - 2.0</t>
        </is>
      </c>
    </row>
    <row r="15">
      <c r="A15" s="6" t="inlineStr">
        <is>
          <t>Kenaikan Beban (Load Delta)</t>
        </is>
      </c>
      <c r="B15" s="7" t="n">
        <v>15</v>
      </c>
      <c r="C15" s="8" t="inlineStr">
        <is>
          <t>Kenaikan beban proses pada mode terkait</t>
        </is>
      </c>
      <c r="D15" s="9" t="inlineStr">
        <is>
          <t>5.0 - 50.0</t>
        </is>
      </c>
    </row>
    <row r="16">
      <c r="A16" s="6" t="inlineStr">
        <is>
          <t>Deskripsi Skenario</t>
        </is>
      </c>
      <c r="B16" s="7" t="inlineStr">
        <is>
          <t>Uji degradasi bertahap (ramp) menuju batas alert</t>
        </is>
      </c>
      <c r="C16" s="8" t="inlineStr">
        <is>
          <t>Catatan skenario pengguna</t>
        </is>
      </c>
      <c r="D16" s="9" t="inlineStr">
        <is>
          <t>Teks bebas</t>
        </is>
      </c>
    </row>
  </sheetData>
  <dataValidations count="4">
    <dataValidation sqref="B4" showDropDown="0" showInputMessage="0" showErrorMessage="0" allowBlank="0" type="list">
      <formula1>"KO-3201,PM-4405B,HE-3301,BL-5702,PU-2101B"</formula1>
    </dataValidation>
    <dataValidation sqref="B5" showDropDown="0" showInputMessage="0" showErrorMessage="0" allowBlank="0" type="list">
      <formula1>"GENERATOR,INPUT_MANUAL"</formula1>
    </dataValidation>
    <dataValidation sqref="B6" showDropDown="0" showInputMessage="0" showErrorMessage="0" allowBlank="0" type="list">
      <formula1>"datar,ramp,lonjakan,spike,flatline,naik_karena_beban"</formula1>
    </dataValidation>
    <dataValidation sqref="B7 B8 B9 B10 B11 B12 B13 B14 B15" showDropDown="0" showInputMessage="0" showErrorMessage="0" allowBlank="0" type="decimal" operator="between">
      <formula1>0</formula1>
      <formula2>1000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28" customWidth="1" min="4" max="4"/>
    <col width="24" customWidth="1" min="5" max="5"/>
  </cols>
  <sheetData>
    <row r="1">
      <c r="A1" s="1" t="inlineStr">
        <is>
          <t>GENERATOR TELEMETRI 72 JAM BERBASIS RUMUS DETERMINISTIK</t>
        </is>
      </c>
    </row>
    <row r="3">
      <c r="A3" s="5" t="inlineStr">
        <is>
          <t>Jam Ke</t>
        </is>
      </c>
      <c r="B3" s="5" t="inlineStr">
        <is>
          <t>Waktu (Timestamp)</t>
        </is>
      </c>
      <c r="C3" s="5" t="inlineStr">
        <is>
          <t>Laju Beban (Rate)</t>
        </is>
      </c>
      <c r="D3" s="5" t="inlineStr">
        <is>
          <t>Nilai Parameter (Sensor)</t>
        </is>
      </c>
      <c r="E3" s="5" t="inlineStr">
        <is>
          <t>Catatan Pola</t>
        </is>
      </c>
    </row>
    <row r="4">
      <c r="A4" s="10" t="n">
        <v>1</v>
      </c>
      <c r="B4" s="10" t="inlineStr">
        <is>
          <t>2026-10-01 00:00:00</t>
        </is>
      </c>
      <c r="C4" s="11">
        <f>IF(PARAMETER!$B$6="naik_karena_beban", PARAMETER!$B$8 + IF(A4&gt;36, PARAMETER!$B$15, 0), PARAMETER!$B$8) + ROUND(SIN(A4*0.5)*0.5, 2)</f>
        <v>55.24</v>
      </c>
      <c r="D4" s="11">
        <f>IF(PARAMETER!$B$6="flatline", PARAMETER!$B$7, IF(PARAMETER!$B$6="datar", PARAMETER!$B$7 + ROUND(SIN(A4*0.89)*PARAMETER!$B$14 + COS(A4*0.53)*(PARAMETER!$B$14*0.5), 3), IF(PARAMETER!$B$6="ramp", PARAMETER!$B$7 + (A4-1)*PARAMETER!$B$9 + ROUND(SIN(A4*0.89)*PARAMETER!$B$14, 3), IF(PARAMETER!$B$6="lonjakan", PARAMETER!$B$7 + IF(A4&gt;PARAMETER!$B$10, (A4-PARAMETER!$B$10)*PARAMETER!$B$11, 0) + ROUND(SIN(A4*0.89)*PARAMETER!$B$14, 3), IF(PARAMETER!$B$6="spike", PARAMETER!$B$7 + IF(A4=PARAMETER!$B$12, PARAMETER!$B$13, 0) + ROUND(SIN(A4*0.89)*PARAMETER!$B$14, 3), IF(PARAMETER!$B$6="naik_karena_beban", PARAMETER!$B$7 + (C4-PARAMETER!$B$8)*0.25 + ROUND(SIN(A4*0.89)*PARAMETER!$B$14, 3), PARAMETER!$B$7))))))</f>
        <v>28.863</v>
      </c>
      <c r="E4" s="9">
        <f>PARAMETER!$B$6 &amp; " (Jam " &amp; A4 &amp; ")"</f>
        <v/>
      </c>
    </row>
    <row r="5">
      <c r="A5" s="10" t="n">
        <v>2</v>
      </c>
      <c r="B5" s="10" t="inlineStr">
        <is>
          <t>2026-10-01 01:00:00</t>
        </is>
      </c>
      <c r="C5" s="11">
        <f>IF(PARAMETER!$B$6="naik_karena_beban", PARAMETER!$B$8 + IF(A5&gt;36, PARAMETER!$B$15, 0), PARAMETER!$B$8) + ROUND(SIN(A5*0.5)*0.5, 2)</f>
        <v>55.42</v>
      </c>
      <c r="D5" s="11">
        <f>IF(PARAMETER!$B$6="flatline", PARAMETER!$B$7, IF(PARAMETER!$B$6="datar", PARAMETER!$B$7 + ROUND(SIN(A5*0.89)*PARAMETER!$B$14 + COS(A5*0.53)*(PARAMETER!$B$14*0.5), 3), IF(PARAMETER!$B$6="ramp", PARAMETER!$B$7 + (A5-1)*PARAMETER!$B$9 + ROUND(SIN(A5*0.89)*PARAMETER!$B$14, 3), IF(PARAMETER!$B$6="lonjakan", PARAMETER!$B$7 + IF(A5&gt;PARAMETER!$B$10, (A5-PARAMETER!$B$10)*PARAMETER!$B$11, 0) + ROUND(SIN(A5*0.89)*PARAMETER!$B$14, 3), IF(PARAMETER!$B$6="spike", PARAMETER!$B$7 + IF(A5=PARAMETER!$B$12, PARAMETER!$B$13, 0) + ROUND(SIN(A5*0.89)*PARAMETER!$B$14, 3), IF(PARAMETER!$B$6="naik_karena_beban", PARAMETER!$B$7 + (C5-PARAMETER!$B$8)*0.25 + ROUND(SIN(A5*0.89)*PARAMETER!$B$14, 3), PARAMETER!$B$7))))))</f>
        <v>29.367</v>
      </c>
      <c r="E5" s="9">
        <f>PARAMETER!$B$6 &amp; " (Jam " &amp; A5 &amp; ")"</f>
        <v/>
      </c>
    </row>
    <row r="6">
      <c r="A6" s="10" t="n">
        <v>3</v>
      </c>
      <c r="B6" s="10" t="inlineStr">
        <is>
          <t>2026-10-01 02:00:00</t>
        </is>
      </c>
      <c r="C6" s="11">
        <f>IF(PARAMETER!$B$6="naik_karena_beban", PARAMETER!$B$8 + IF(A6&gt;36, PARAMETER!$B$15, 0), PARAMETER!$B$8) + ROUND(SIN(A6*0.5)*0.5, 2)</f>
        <v>55.5</v>
      </c>
      <c r="D6" s="11">
        <f>IF(PARAMETER!$B$6="flatline", PARAMETER!$B$7, IF(PARAMETER!$B$6="datar", PARAMETER!$B$7 + ROUND(SIN(A6*0.89)*PARAMETER!$B$14 + COS(A6*0.53)*(PARAMETER!$B$14*0.5), 3), IF(PARAMETER!$B$6="ramp", PARAMETER!$B$7 + (A6-1)*PARAMETER!$B$9 + ROUND(SIN(A6*0.89)*PARAMETER!$B$14, 3), IF(PARAMETER!$B$6="lonjakan", PARAMETER!$B$7 + IF(A6&gt;PARAMETER!$B$10, (A6-PARAMETER!$B$10)*PARAMETER!$B$11, 0) + ROUND(SIN(A6*0.89)*PARAMETER!$B$14, 3), IF(PARAMETER!$B$6="spike", PARAMETER!$B$7 + IF(A6=PARAMETER!$B$12, PARAMETER!$B$13, 0) + ROUND(SIN(A6*0.89)*PARAMETER!$B$14, 3), IF(PARAMETER!$B$6="naik_karena_beban", PARAMETER!$B$7 + (C6-PARAMETER!$B$8)*0.25 + ROUND(SIN(A6*0.89)*PARAMETER!$B$14, 3), PARAMETER!$B$7))))))</f>
        <v>29.633</v>
      </c>
      <c r="E6" s="9">
        <f>PARAMETER!$B$6 &amp; " (Jam " &amp; A6 &amp; ")"</f>
        <v/>
      </c>
    </row>
    <row r="7">
      <c r="A7" s="10" t="n">
        <v>4</v>
      </c>
      <c r="B7" s="10" t="inlineStr">
        <is>
          <t>2026-10-01 03:00:00</t>
        </is>
      </c>
      <c r="C7" s="11">
        <f>IF(PARAMETER!$B$6="naik_karena_beban", PARAMETER!$B$8 + IF(A7&gt;36, PARAMETER!$B$15, 0), PARAMETER!$B$8) + ROUND(SIN(A7*0.5)*0.5, 2)</f>
        <v>55.45</v>
      </c>
      <c r="D7" s="11">
        <f>IF(PARAMETER!$B$6="flatline", PARAMETER!$B$7, IF(PARAMETER!$B$6="datar", PARAMETER!$B$7 + ROUND(SIN(A7*0.89)*PARAMETER!$B$14 + COS(A7*0.53)*(PARAMETER!$B$14*0.5), 3), IF(PARAMETER!$B$6="ramp", PARAMETER!$B$7 + (A7-1)*PARAMETER!$B$9 + ROUND(SIN(A7*0.89)*PARAMETER!$B$14, 3), IF(PARAMETER!$B$6="lonjakan", PARAMETER!$B$7 + IF(A7&gt;PARAMETER!$B$10, (A7-PARAMETER!$B$10)*PARAMETER!$B$11, 0) + ROUND(SIN(A7*0.89)*PARAMETER!$B$14, 3), IF(PARAMETER!$B$6="spike", PARAMETER!$B$7 + IF(A7=PARAMETER!$B$12, PARAMETER!$B$13, 0) + ROUND(SIN(A7*0.89)*PARAMETER!$B$14, 3), IF(PARAMETER!$B$6="naik_karena_beban", PARAMETER!$B$7 + (C7-PARAMETER!$B$8)*0.25 + ROUND(SIN(A7*0.89)*PARAMETER!$B$14, 3), PARAMETER!$B$7))))))</f>
        <v>29.8</v>
      </c>
      <c r="E7" s="9">
        <f>PARAMETER!$B$6 &amp; " (Jam " &amp; A7 &amp; ")"</f>
        <v/>
      </c>
    </row>
    <row r="8">
      <c r="A8" s="10" t="n">
        <v>5</v>
      </c>
      <c r="B8" s="10" t="inlineStr">
        <is>
          <t>2026-10-01 04:00:00</t>
        </is>
      </c>
      <c r="C8" s="11">
        <f>IF(PARAMETER!$B$6="naik_karena_beban", PARAMETER!$B$8 + IF(A8&gt;36, PARAMETER!$B$15, 0), PARAMETER!$B$8) + ROUND(SIN(A8*0.5)*0.5, 2)</f>
        <v>55.3</v>
      </c>
      <c r="D8" s="11">
        <f>IF(PARAMETER!$B$6="flatline", PARAMETER!$B$7, IF(PARAMETER!$B$6="datar", PARAMETER!$B$7 + ROUND(SIN(A8*0.89)*PARAMETER!$B$14 + COS(A8*0.53)*(PARAMETER!$B$14*0.5), 3), IF(PARAMETER!$B$6="ramp", PARAMETER!$B$7 + (A8-1)*PARAMETER!$B$9 + ROUND(SIN(A8*0.89)*PARAMETER!$B$14, 3), IF(PARAMETER!$B$6="lonjakan", PARAMETER!$B$7 + IF(A8&gt;PARAMETER!$B$10, (A8-PARAMETER!$B$10)*PARAMETER!$B$11, 0) + ROUND(SIN(A8*0.89)*PARAMETER!$B$14, 3), IF(PARAMETER!$B$6="spike", PARAMETER!$B$7 + IF(A8=PARAMETER!$B$12, PARAMETER!$B$13, 0) + ROUND(SIN(A8*0.89)*PARAMETER!$B$14, 3), IF(PARAMETER!$B$6="naik_karena_beban", PARAMETER!$B$7 + (C8-PARAMETER!$B$8)*0.25 + ROUND(SIN(A8*0.89)*PARAMETER!$B$14, 3), PARAMETER!$B$7))))))</f>
        <v>30.078</v>
      </c>
      <c r="E8" s="9">
        <f>PARAMETER!$B$6 &amp; " (Jam " &amp; A8 &amp; ")"</f>
        <v/>
      </c>
    </row>
    <row r="9">
      <c r="A9" s="10" t="n">
        <v>6</v>
      </c>
      <c r="B9" s="10" t="inlineStr">
        <is>
          <t>2026-10-01 05:00:00</t>
        </is>
      </c>
      <c r="C9" s="11">
        <f>IF(PARAMETER!$B$6="naik_karena_beban", PARAMETER!$B$8 + IF(A9&gt;36, PARAMETER!$B$15, 0), PARAMETER!$B$8) + ROUND(SIN(A9*0.5)*0.5, 2)</f>
        <v>55.07</v>
      </c>
      <c r="D9" s="11">
        <f>IF(PARAMETER!$B$6="flatline", PARAMETER!$B$7, IF(PARAMETER!$B$6="datar", PARAMETER!$B$7 + ROUND(SIN(A9*0.89)*PARAMETER!$B$14 + COS(A9*0.53)*(PARAMETER!$B$14*0.5), 3), IF(PARAMETER!$B$6="ramp", PARAMETER!$B$7 + (A9-1)*PARAMETER!$B$9 + ROUND(SIN(A9*0.89)*PARAMETER!$B$14, 3), IF(PARAMETER!$B$6="lonjakan", PARAMETER!$B$7 + IF(A9&gt;PARAMETER!$B$10, (A9-PARAMETER!$B$10)*PARAMETER!$B$11, 0) + ROUND(SIN(A9*0.89)*PARAMETER!$B$14, 3), IF(PARAMETER!$B$6="spike", PARAMETER!$B$7 + IF(A9=PARAMETER!$B$12, PARAMETER!$B$13, 0) + ROUND(SIN(A9*0.89)*PARAMETER!$B$14, 3), IF(PARAMETER!$B$6="naik_karena_beban", PARAMETER!$B$7 + (C9-PARAMETER!$B$8)*0.25 + ROUND(SIN(A9*0.89)*PARAMETER!$B$14, 3), PARAMETER!$B$7))))))</f>
        <v>30.607</v>
      </c>
      <c r="E9" s="9">
        <f>PARAMETER!$B$6 &amp; " (Jam " &amp; A9 &amp; ")"</f>
        <v/>
      </c>
    </row>
    <row r="10">
      <c r="A10" s="10" t="n">
        <v>7</v>
      </c>
      <c r="B10" s="10" t="inlineStr">
        <is>
          <t>2026-10-01 06:00:00</t>
        </is>
      </c>
      <c r="C10" s="11">
        <f>IF(PARAMETER!$B$6="naik_karena_beban", PARAMETER!$B$8 + IF(A10&gt;36, PARAMETER!$B$15, 0), PARAMETER!$B$8) + ROUND(SIN(A10*0.5)*0.5, 2)</f>
        <v>54.82</v>
      </c>
      <c r="D10" s="11">
        <f>IF(PARAMETER!$B$6="flatline", PARAMETER!$B$7, IF(PARAMETER!$B$6="datar", PARAMETER!$B$7 + ROUND(SIN(A10*0.89)*PARAMETER!$B$14 + COS(A10*0.53)*(PARAMETER!$B$14*0.5), 3), IF(PARAMETER!$B$6="ramp", PARAMETER!$B$7 + (A10-1)*PARAMETER!$B$9 + ROUND(SIN(A10*0.89)*PARAMETER!$B$14, 3), IF(PARAMETER!$B$6="lonjakan", PARAMETER!$B$7 + IF(A10&gt;PARAMETER!$B$10, (A10-PARAMETER!$B$10)*PARAMETER!$B$11, 0) + ROUND(SIN(A10*0.89)*PARAMETER!$B$14, 3), IF(PARAMETER!$B$6="spike", PARAMETER!$B$7 + IF(A10=PARAMETER!$B$12, PARAMETER!$B$13, 0) + ROUND(SIN(A10*0.89)*PARAMETER!$B$14, 3), IF(PARAMETER!$B$6="naik_karena_beban", PARAMETER!$B$7 + (C10-PARAMETER!$B$8)*0.25 + ROUND(SIN(A10*0.89)*PARAMETER!$B$14, 3), PARAMETER!$B$7))))))</f>
        <v>31.358</v>
      </c>
      <c r="E10" s="9">
        <f>PARAMETER!$B$6 &amp; " (Jam " &amp; A10 &amp; ")"</f>
        <v/>
      </c>
    </row>
    <row r="11">
      <c r="A11" s="10" t="n">
        <v>8</v>
      </c>
      <c r="B11" s="10" t="inlineStr">
        <is>
          <t>2026-10-01 07:00:00</t>
        </is>
      </c>
      <c r="C11" s="11">
        <f>IF(PARAMETER!$B$6="naik_karena_beban", PARAMETER!$B$8 + IF(A11&gt;36, PARAMETER!$B$15, 0), PARAMETER!$B$8) + ROUND(SIN(A11*0.5)*0.5, 2)</f>
        <v>54.62</v>
      </c>
      <c r="D11" s="11">
        <f>IF(PARAMETER!$B$6="flatline", PARAMETER!$B$7, IF(PARAMETER!$B$6="datar", PARAMETER!$B$7 + ROUND(SIN(A11*0.89)*PARAMETER!$B$14 + COS(A11*0.53)*(PARAMETER!$B$14*0.5), 3), IF(PARAMETER!$B$6="ramp", PARAMETER!$B$7 + (A11-1)*PARAMETER!$B$9 + ROUND(SIN(A11*0.89)*PARAMETER!$B$14, 3), IF(PARAMETER!$B$6="lonjakan", PARAMETER!$B$7 + IF(A11&gt;PARAMETER!$B$10, (A11-PARAMETER!$B$10)*PARAMETER!$B$11, 0) + ROUND(SIN(A11*0.89)*PARAMETER!$B$14, 3), IF(PARAMETER!$B$6="spike", PARAMETER!$B$7 + IF(A11=PARAMETER!$B$12, PARAMETER!$B$13, 0) + ROUND(SIN(A11*0.89)*PARAMETER!$B$14, 3), IF(PARAMETER!$B$6="naik_karena_beban", PARAMETER!$B$7 + (C11-PARAMETER!$B$8)*0.25 + ROUND(SIN(A11*0.89)*PARAMETER!$B$14, 3), PARAMETER!$B$7))))))</f>
        <v>32.155</v>
      </c>
      <c r="E11" s="9">
        <f>PARAMETER!$B$6 &amp; " (Jam " &amp; A11 &amp; ")"</f>
        <v/>
      </c>
    </row>
    <row r="12">
      <c r="A12" s="10" t="n">
        <v>9</v>
      </c>
      <c r="B12" s="10" t="inlineStr">
        <is>
          <t>2026-10-01 08:00:00</t>
        </is>
      </c>
      <c r="C12" s="11">
        <f>IF(PARAMETER!$B$6="naik_karena_beban", PARAMETER!$B$8 + IF(A12&gt;36, PARAMETER!$B$15, 0), PARAMETER!$B$8) + ROUND(SIN(A12*0.5)*0.5, 2)</f>
        <v>54.51</v>
      </c>
      <c r="D12" s="11">
        <f>IF(PARAMETER!$B$6="flatline", PARAMETER!$B$7, IF(PARAMETER!$B$6="datar", PARAMETER!$B$7 + ROUND(SIN(A12*0.89)*PARAMETER!$B$14 + COS(A12*0.53)*(PARAMETER!$B$14*0.5), 3), IF(PARAMETER!$B$6="ramp", PARAMETER!$B$7 + (A12-1)*PARAMETER!$B$9 + ROUND(SIN(A12*0.89)*PARAMETER!$B$14, 3), IF(PARAMETER!$B$6="lonjakan", PARAMETER!$B$7 + IF(A12&gt;PARAMETER!$B$10, (A12-PARAMETER!$B$10)*PARAMETER!$B$11, 0) + ROUND(SIN(A12*0.89)*PARAMETER!$B$14, 3), IF(PARAMETER!$B$6="spike", PARAMETER!$B$7 + IF(A12=PARAMETER!$B$12, PARAMETER!$B$13, 0) + ROUND(SIN(A12*0.89)*PARAMETER!$B$14, 3), IF(PARAMETER!$B$6="naik_karena_beban", PARAMETER!$B$7 + (C12-PARAMETER!$B$8)*0.25 + ROUND(SIN(A12*0.89)*PARAMETER!$B$14, 3), PARAMETER!$B$7))))))</f>
        <v>32.805</v>
      </c>
      <c r="E12" s="9">
        <f>PARAMETER!$B$6 &amp; " (Jam " &amp; A12 &amp; ")"</f>
        <v/>
      </c>
    </row>
    <row r="13">
      <c r="A13" s="10" t="n">
        <v>10</v>
      </c>
      <c r="B13" s="10" t="inlineStr">
        <is>
          <t>2026-10-01 09:00:00</t>
        </is>
      </c>
      <c r="C13" s="11">
        <f>IF(PARAMETER!$B$6="naik_karena_beban", PARAMETER!$B$8 + IF(A13&gt;36, PARAMETER!$B$15, 0), PARAMETER!$B$8) + ROUND(SIN(A13*0.5)*0.5, 2)</f>
        <v>54.52</v>
      </c>
      <c r="D13" s="11">
        <f>IF(PARAMETER!$B$6="flatline", PARAMETER!$B$7, IF(PARAMETER!$B$6="datar", PARAMETER!$B$7 + ROUND(SIN(A13*0.89)*PARAMETER!$B$14 + COS(A13*0.53)*(PARAMETER!$B$14*0.5), 3), IF(PARAMETER!$B$6="ramp", PARAMETER!$B$7 + (A13-1)*PARAMETER!$B$9 + ROUND(SIN(A13*0.89)*PARAMETER!$B$14, 3), IF(PARAMETER!$B$6="lonjakan", PARAMETER!$B$7 + IF(A13&gt;PARAMETER!$B$10, (A13-PARAMETER!$B$10)*PARAMETER!$B$11, 0) + ROUND(SIN(A13*0.89)*PARAMETER!$B$14, 3), IF(PARAMETER!$B$6="spike", PARAMETER!$B$7 + IF(A13=PARAMETER!$B$12, PARAMETER!$B$13, 0) + ROUND(SIN(A13*0.89)*PARAMETER!$B$14, 3), IF(PARAMETER!$B$6="naik_karena_beban", PARAMETER!$B$7 + (C13-PARAMETER!$B$8)*0.25 + ROUND(SIN(A13*0.89)*PARAMETER!$B$14, 3), PARAMETER!$B$7))))))</f>
        <v>33.233</v>
      </c>
      <c r="E13" s="9">
        <f>PARAMETER!$B$6 &amp; " (Jam " &amp; A13 &amp; ")"</f>
        <v/>
      </c>
    </row>
    <row r="14">
      <c r="A14" s="10" t="n">
        <v>11</v>
      </c>
      <c r="B14" s="10" t="inlineStr">
        <is>
          <t>2026-10-01 10:00:00</t>
        </is>
      </c>
      <c r="C14" s="11">
        <f>IF(PARAMETER!$B$6="naik_karena_beban", PARAMETER!$B$8 + IF(A14&gt;36, PARAMETER!$B$15, 0), PARAMETER!$B$8) + ROUND(SIN(A14*0.5)*0.5, 2)</f>
        <v>54.65</v>
      </c>
      <c r="D14" s="11">
        <f>IF(PARAMETER!$B$6="flatline", PARAMETER!$B$7, IF(PARAMETER!$B$6="datar", PARAMETER!$B$7 + ROUND(SIN(A14*0.89)*PARAMETER!$B$14 + COS(A14*0.53)*(PARAMETER!$B$14*0.5), 3), IF(PARAMETER!$B$6="ramp", PARAMETER!$B$7 + (A14-1)*PARAMETER!$B$9 + ROUND(SIN(A14*0.89)*PARAMETER!$B$14, 3), IF(PARAMETER!$B$6="lonjakan", PARAMETER!$B$7 + IF(A14&gt;PARAMETER!$B$10, (A14-PARAMETER!$B$10)*PARAMETER!$B$11, 0) + ROUND(SIN(A14*0.89)*PARAMETER!$B$14, 3), IF(PARAMETER!$B$6="spike", PARAMETER!$B$7 + IF(A14=PARAMETER!$B$12, PARAMETER!$B$13, 0) + ROUND(SIN(A14*0.89)*PARAMETER!$B$14, 3), IF(PARAMETER!$B$6="naik_karena_beban", PARAMETER!$B$7 + (C14-PARAMETER!$B$8)*0.25 + ROUND(SIN(A14*0.89)*PARAMETER!$B$14, 3), PARAMETER!$B$7))))))</f>
        <v>33.528</v>
      </c>
      <c r="E14" s="9">
        <f>PARAMETER!$B$6 &amp; " (Jam " &amp; A14 &amp; ")"</f>
        <v/>
      </c>
    </row>
    <row r="15">
      <c r="A15" s="10" t="n">
        <v>12</v>
      </c>
      <c r="B15" s="10" t="inlineStr">
        <is>
          <t>2026-10-01 11:00:00</t>
        </is>
      </c>
      <c r="C15" s="11">
        <f>IF(PARAMETER!$B$6="naik_karena_beban", PARAMETER!$B$8 + IF(A15&gt;36, PARAMETER!$B$15, 0), PARAMETER!$B$8) + ROUND(SIN(A15*0.5)*0.5, 2)</f>
        <v>54.86</v>
      </c>
      <c r="D15" s="11">
        <f>IF(PARAMETER!$B$6="flatline", PARAMETER!$B$7, IF(PARAMETER!$B$6="datar", PARAMETER!$B$7 + ROUND(SIN(A15*0.89)*PARAMETER!$B$14 + COS(A15*0.53)*(PARAMETER!$B$14*0.5), 3), IF(PARAMETER!$B$6="ramp", PARAMETER!$B$7 + (A15-1)*PARAMETER!$B$9 + ROUND(SIN(A15*0.89)*PARAMETER!$B$14, 3), IF(PARAMETER!$B$6="lonjakan", PARAMETER!$B$7 + IF(A15&gt;PARAMETER!$B$10, (A15-PARAMETER!$B$10)*PARAMETER!$B$11, 0) + ROUND(SIN(A15*0.89)*PARAMETER!$B$14, 3), IF(PARAMETER!$B$6="spike", PARAMETER!$B$7 + IF(A15=PARAMETER!$B$12, PARAMETER!$B$13, 0) + ROUND(SIN(A15*0.89)*PARAMETER!$B$14, 3), IF(PARAMETER!$B$6="naik_karena_beban", PARAMETER!$B$7 + (C15-PARAMETER!$B$8)*0.25 + ROUND(SIN(A15*0.89)*PARAMETER!$B$14, 3), PARAMETER!$B$7))))))</f>
        <v>33.864</v>
      </c>
      <c r="E15" s="9">
        <f>PARAMETER!$B$6 &amp; " (Jam " &amp; A15 &amp; ")"</f>
        <v/>
      </c>
    </row>
    <row r="16">
      <c r="A16" s="10" t="n">
        <v>13</v>
      </c>
      <c r="B16" s="10" t="inlineStr">
        <is>
          <t>2026-10-01 12:00:00</t>
        </is>
      </c>
      <c r="C16" s="11">
        <f>IF(PARAMETER!$B$6="naik_karena_beban", PARAMETER!$B$8 + IF(A16&gt;36, PARAMETER!$B$15, 0), PARAMETER!$B$8) + ROUND(SIN(A16*0.5)*0.5, 2)</f>
        <v>55.11</v>
      </c>
      <c r="D16" s="11">
        <f>IF(PARAMETER!$B$6="flatline", PARAMETER!$B$7, IF(PARAMETER!$B$6="datar", PARAMETER!$B$7 + ROUND(SIN(A16*0.89)*PARAMETER!$B$14 + COS(A16*0.53)*(PARAMETER!$B$14*0.5), 3), IF(PARAMETER!$B$6="ramp", PARAMETER!$B$7 + (A16-1)*PARAMETER!$B$9 + ROUND(SIN(A16*0.89)*PARAMETER!$B$14, 3), IF(PARAMETER!$B$6="lonjakan", PARAMETER!$B$7 + IF(A16&gt;PARAMETER!$B$10, (A16-PARAMETER!$B$10)*PARAMETER!$B$11, 0) + ROUND(SIN(A16*0.89)*PARAMETER!$B$14, 3), IF(PARAMETER!$B$6="spike", PARAMETER!$B$7 + IF(A16=PARAMETER!$B$12, PARAMETER!$B$13, 0) + ROUND(SIN(A16*0.89)*PARAMETER!$B$14, 3), IF(PARAMETER!$B$6="naik_karena_beban", PARAMETER!$B$7 + (C16-PARAMETER!$B$8)*0.25 + ROUND(SIN(A16*0.89)*PARAMETER!$B$14, 3), PARAMETER!$B$7))))))</f>
        <v>34.371</v>
      </c>
      <c r="E16" s="9">
        <f>PARAMETER!$B$6 &amp; " (Jam " &amp; A16 &amp; ")"</f>
        <v/>
      </c>
    </row>
    <row r="17">
      <c r="A17" s="10" t="n">
        <v>14</v>
      </c>
      <c r="B17" s="10" t="inlineStr">
        <is>
          <t>2026-10-01 13:00:00</t>
        </is>
      </c>
      <c r="C17" s="11">
        <f>IF(PARAMETER!$B$6="naik_karena_beban", PARAMETER!$B$8 + IF(A17&gt;36, PARAMETER!$B$15, 0), PARAMETER!$B$8) + ROUND(SIN(A17*0.5)*0.5, 2)</f>
        <v>55.33</v>
      </c>
      <c r="D17" s="11">
        <f>IF(PARAMETER!$B$6="flatline", PARAMETER!$B$7, IF(PARAMETER!$B$6="datar", PARAMETER!$B$7 + ROUND(SIN(A17*0.89)*PARAMETER!$B$14 + COS(A17*0.53)*(PARAMETER!$B$14*0.5), 3), IF(PARAMETER!$B$6="ramp", PARAMETER!$B$7 + (A17-1)*PARAMETER!$B$9 + ROUND(SIN(A17*0.89)*PARAMETER!$B$14, 3), IF(PARAMETER!$B$6="lonjakan", PARAMETER!$B$7 + IF(A17&gt;PARAMETER!$B$10, (A17-PARAMETER!$B$10)*PARAMETER!$B$11, 0) + ROUND(SIN(A17*0.89)*PARAMETER!$B$14, 3), IF(PARAMETER!$B$6="spike", PARAMETER!$B$7 + IF(A17=PARAMETER!$B$12, PARAMETER!$B$13, 0) + ROUND(SIN(A17*0.89)*PARAMETER!$B$14, 3), IF(PARAMETER!$B$6="naik_karena_beban", PARAMETER!$B$7 + (C17-PARAMETER!$B$8)*0.25 + ROUND(SIN(A17*0.89)*PARAMETER!$B$14, 3), PARAMETER!$B$7))))))</f>
        <v>35.031</v>
      </c>
      <c r="E17" s="9">
        <f>PARAMETER!$B$6 &amp; " (Jam " &amp; A17 &amp; ")"</f>
        <v/>
      </c>
    </row>
    <row r="18">
      <c r="A18" s="10" t="n">
        <v>15</v>
      </c>
      <c r="B18" s="10" t="inlineStr">
        <is>
          <t>2026-10-01 14:00:00</t>
        </is>
      </c>
      <c r="C18" s="11">
        <f>IF(PARAMETER!$B$6="naik_karena_beban", PARAMETER!$B$8 + IF(A18&gt;36, PARAMETER!$B$15, 0), PARAMETER!$B$8) + ROUND(SIN(A18*0.5)*0.5, 2)</f>
        <v>55.47</v>
      </c>
      <c r="D18" s="11">
        <f>IF(PARAMETER!$B$6="flatline", PARAMETER!$B$7, IF(PARAMETER!$B$6="datar", PARAMETER!$B$7 + ROUND(SIN(A18*0.89)*PARAMETER!$B$14 + COS(A18*0.53)*(PARAMETER!$B$14*0.5), 3), IF(PARAMETER!$B$6="ramp", PARAMETER!$B$7 + (A18-1)*PARAMETER!$B$9 + ROUND(SIN(A18*0.89)*PARAMETER!$B$14, 3), IF(PARAMETER!$B$6="lonjakan", PARAMETER!$B$7 + IF(A18&gt;PARAMETER!$B$10, (A18-PARAMETER!$B$10)*PARAMETER!$B$11, 0) + ROUND(SIN(A18*0.89)*PARAMETER!$B$14, 3), IF(PARAMETER!$B$6="spike", PARAMETER!$B$7 + IF(A18=PARAMETER!$B$12, PARAMETER!$B$13, 0) + ROUND(SIN(A18*0.89)*PARAMETER!$B$14, 3), IF(PARAMETER!$B$6="naik_karena_beban", PARAMETER!$B$7 + (C18-PARAMETER!$B$8)*0.25 + ROUND(SIN(A18*0.89)*PARAMETER!$B$14, 3), PARAMETER!$B$7))))))</f>
        <v>35.697</v>
      </c>
      <c r="E18" s="9">
        <f>PARAMETER!$B$6 &amp; " (Jam " &amp; A18 &amp; ")"</f>
        <v/>
      </c>
    </row>
    <row r="19">
      <c r="A19" s="10" t="n">
        <v>16</v>
      </c>
      <c r="B19" s="10" t="inlineStr">
        <is>
          <t>2026-10-01 15:00:00</t>
        </is>
      </c>
      <c r="C19" s="11">
        <f>IF(PARAMETER!$B$6="naik_karena_beban", PARAMETER!$B$8 + IF(A19&gt;36, PARAMETER!$B$15, 0), PARAMETER!$B$8) + ROUND(SIN(A19*0.5)*0.5, 2)</f>
        <v>55.49</v>
      </c>
      <c r="D19" s="11">
        <f>IF(PARAMETER!$B$6="flatline", PARAMETER!$B$7, IF(PARAMETER!$B$6="datar", PARAMETER!$B$7 + ROUND(SIN(A19*0.89)*PARAMETER!$B$14 + COS(A19*0.53)*(PARAMETER!$B$14*0.5), 3), IF(PARAMETER!$B$6="ramp", PARAMETER!$B$7 + (A19-1)*PARAMETER!$B$9 + ROUND(SIN(A19*0.89)*PARAMETER!$B$14, 3), IF(PARAMETER!$B$6="lonjakan", PARAMETER!$B$7 + IF(A19&gt;PARAMETER!$B$10, (A19-PARAMETER!$B$10)*PARAMETER!$B$11, 0) + ROUND(SIN(A19*0.89)*PARAMETER!$B$14, 3), IF(PARAMETER!$B$6="spike", PARAMETER!$B$7 + IF(A19=PARAMETER!$B$12, PARAMETER!$B$13, 0) + ROUND(SIN(A19*0.89)*PARAMETER!$B$14, 3), IF(PARAMETER!$B$6="naik_karena_beban", PARAMETER!$B$7 + (C19-PARAMETER!$B$8)*0.25 + ROUND(SIN(A19*0.89)*PARAMETER!$B$14, 3), PARAMETER!$B$7))))))</f>
        <v>36.211</v>
      </c>
      <c r="E19" s="9">
        <f>PARAMETER!$B$6 &amp; " (Jam " &amp; A19 &amp; ")"</f>
        <v/>
      </c>
    </row>
    <row r="20">
      <c r="A20" s="10" t="n">
        <v>17</v>
      </c>
      <c r="B20" s="10" t="inlineStr">
        <is>
          <t>2026-10-01 16:00:00</t>
        </is>
      </c>
      <c r="C20" s="11">
        <f>IF(PARAMETER!$B$6="naik_karena_beban", PARAMETER!$B$8 + IF(A20&gt;36, PARAMETER!$B$15, 0), PARAMETER!$B$8) + ROUND(SIN(A20*0.5)*0.5, 2)</f>
        <v>55.4</v>
      </c>
      <c r="D20" s="11">
        <f>IF(PARAMETER!$B$6="flatline", PARAMETER!$B$7, IF(PARAMETER!$B$6="datar", PARAMETER!$B$7 + ROUND(SIN(A20*0.89)*PARAMETER!$B$14 + COS(A20*0.53)*(PARAMETER!$B$14*0.5), 3), IF(PARAMETER!$B$6="ramp", PARAMETER!$B$7 + (A20-1)*PARAMETER!$B$9 + ROUND(SIN(A20*0.89)*PARAMETER!$B$14, 3), IF(PARAMETER!$B$6="lonjakan", PARAMETER!$B$7 + IF(A20&gt;PARAMETER!$B$10, (A20-PARAMETER!$B$10)*PARAMETER!$B$11, 0) + ROUND(SIN(A20*0.89)*PARAMETER!$B$14, 3), IF(PARAMETER!$B$6="spike", PARAMETER!$B$7 + IF(A20=PARAMETER!$B$12, PARAMETER!$B$13, 0) + ROUND(SIN(A20*0.89)*PARAMETER!$B$14, 3), IF(PARAMETER!$B$6="naik_karena_beban", PARAMETER!$B$7 + (C20-PARAMETER!$B$8)*0.25 + ROUND(SIN(A20*0.89)*PARAMETER!$B$14, 3), PARAMETER!$B$7))))))</f>
        <v>36.527</v>
      </c>
      <c r="E20" s="9">
        <f>PARAMETER!$B$6 &amp; " (Jam " &amp; A20 &amp; ")"</f>
        <v/>
      </c>
    </row>
    <row r="21">
      <c r="A21" s="10" t="n">
        <v>18</v>
      </c>
      <c r="B21" s="10" t="inlineStr">
        <is>
          <t>2026-10-01 17:00:00</t>
        </is>
      </c>
      <c r="C21" s="11">
        <f>IF(PARAMETER!$B$6="naik_karena_beban", PARAMETER!$B$8 + IF(A21&gt;36, PARAMETER!$B$15, 0), PARAMETER!$B$8) + ROUND(SIN(A21*0.5)*0.5, 2)</f>
        <v>55.21</v>
      </c>
      <c r="D21" s="11">
        <f>IF(PARAMETER!$B$6="flatline", PARAMETER!$B$7, IF(PARAMETER!$B$6="datar", PARAMETER!$B$7 + ROUND(SIN(A21*0.89)*PARAMETER!$B$14 + COS(A21*0.53)*(PARAMETER!$B$14*0.5), 3), IF(PARAMETER!$B$6="ramp", PARAMETER!$B$7 + (A21-1)*PARAMETER!$B$9 + ROUND(SIN(A21*0.89)*PARAMETER!$B$14, 3), IF(PARAMETER!$B$6="lonjakan", PARAMETER!$B$7 + IF(A21&gt;PARAMETER!$B$10, (A21-PARAMETER!$B$10)*PARAMETER!$B$11, 0) + ROUND(SIN(A21*0.89)*PARAMETER!$B$14, 3), IF(PARAMETER!$B$6="spike", PARAMETER!$B$7 + IF(A21=PARAMETER!$B$12, PARAMETER!$B$13, 0) + ROUND(SIN(A21*0.89)*PARAMETER!$B$14, 3), IF(PARAMETER!$B$6="naik_karena_beban", PARAMETER!$B$7 + (C21-PARAMETER!$B$8)*0.25 + ROUND(SIN(A21*0.89)*PARAMETER!$B$14, 3), PARAMETER!$B$7))))))</f>
        <v>36.759</v>
      </c>
      <c r="E21" s="9">
        <f>PARAMETER!$B$6 &amp; " (Jam " &amp; A21 &amp; ")"</f>
        <v/>
      </c>
    </row>
    <row r="22">
      <c r="A22" s="10" t="n">
        <v>19</v>
      </c>
      <c r="B22" s="10" t="inlineStr">
        <is>
          <t>2026-10-01 18:00:00</t>
        </is>
      </c>
      <c r="C22" s="11">
        <f>IF(PARAMETER!$B$6="naik_karena_beban", PARAMETER!$B$8 + IF(A22&gt;36, PARAMETER!$B$15, 0), PARAMETER!$B$8) + ROUND(SIN(A22*0.5)*0.5, 2)</f>
        <v>54.96</v>
      </c>
      <c r="D22" s="11">
        <f>IF(PARAMETER!$B$6="flatline", PARAMETER!$B$7, IF(PARAMETER!$B$6="datar", PARAMETER!$B$7 + ROUND(SIN(A22*0.89)*PARAMETER!$B$14 + COS(A22*0.53)*(PARAMETER!$B$14*0.5), 3), IF(PARAMETER!$B$6="ramp", PARAMETER!$B$7 + (A22-1)*PARAMETER!$B$9 + ROUND(SIN(A22*0.89)*PARAMETER!$B$14, 3), IF(PARAMETER!$B$6="lonjakan", PARAMETER!$B$7 + IF(A22&gt;PARAMETER!$B$10, (A22-PARAMETER!$B$10)*PARAMETER!$B$11, 0) + ROUND(SIN(A22*0.89)*PARAMETER!$B$14, 3), IF(PARAMETER!$B$6="spike", PARAMETER!$B$7 + IF(A22=PARAMETER!$B$12, PARAMETER!$B$13, 0) + ROUND(SIN(A22*0.89)*PARAMETER!$B$14, 3), IF(PARAMETER!$B$6="naik_karena_beban", PARAMETER!$B$7 + (C22-PARAMETER!$B$8)*0.25 + ROUND(SIN(A22*0.89)*PARAMETER!$B$14, 3), PARAMETER!$B$7))))))</f>
        <v>37.1</v>
      </c>
      <c r="E22" s="9">
        <f>PARAMETER!$B$6 &amp; " (Jam " &amp; A22 &amp; ")"</f>
        <v/>
      </c>
    </row>
    <row r="23">
      <c r="A23" s="10" t="n">
        <v>20</v>
      </c>
      <c r="B23" s="10" t="inlineStr">
        <is>
          <t>2026-10-01 19:00:00</t>
        </is>
      </c>
      <c r="C23" s="11">
        <f>IF(PARAMETER!$B$6="naik_karena_beban", PARAMETER!$B$8 + IF(A23&gt;36, PARAMETER!$B$15, 0), PARAMETER!$B$8) + ROUND(SIN(A23*0.5)*0.5, 2)</f>
        <v>54.73</v>
      </c>
      <c r="D23" s="11">
        <f>IF(PARAMETER!$B$6="flatline", PARAMETER!$B$7, IF(PARAMETER!$B$6="datar", PARAMETER!$B$7 + ROUND(SIN(A23*0.89)*PARAMETER!$B$14 + COS(A23*0.53)*(PARAMETER!$B$14*0.5), 3), IF(PARAMETER!$B$6="ramp", PARAMETER!$B$7 + (A23-1)*PARAMETER!$B$9 + ROUND(SIN(A23*0.89)*PARAMETER!$B$14, 3), IF(PARAMETER!$B$6="lonjakan", PARAMETER!$B$7 + IF(A23&gt;PARAMETER!$B$10, (A23-PARAMETER!$B$10)*PARAMETER!$B$11, 0) + ROUND(SIN(A23*0.89)*PARAMETER!$B$14, 3), IF(PARAMETER!$B$6="spike", PARAMETER!$B$7 + IF(A23=PARAMETER!$B$12, PARAMETER!$B$13, 0) + ROUND(SIN(A23*0.89)*PARAMETER!$B$14, 3), IF(PARAMETER!$B$6="naik_karena_beban", PARAMETER!$B$7 + (C23-PARAMETER!$B$8)*0.25 + ROUND(SIN(A23*0.89)*PARAMETER!$B$14, 3), PARAMETER!$B$7))))))</f>
        <v>37.682</v>
      </c>
      <c r="E23" s="9">
        <f>PARAMETER!$B$6 &amp; " (Jam " &amp; A23 &amp; ")"</f>
        <v/>
      </c>
    </row>
    <row r="24">
      <c r="A24" s="10" t="n">
        <v>21</v>
      </c>
      <c r="B24" s="10" t="inlineStr">
        <is>
          <t>2026-10-01 20:00:00</t>
        </is>
      </c>
      <c r="C24" s="11">
        <f>IF(PARAMETER!$B$6="naik_karena_beban", PARAMETER!$B$8 + IF(A24&gt;36, PARAMETER!$B$15, 0), PARAMETER!$B$8) + ROUND(SIN(A24*0.5)*0.5, 2)</f>
        <v>54.56</v>
      </c>
      <c r="D24" s="11">
        <f>IF(PARAMETER!$B$6="flatline", PARAMETER!$B$7, IF(PARAMETER!$B$6="datar", PARAMETER!$B$7 + ROUND(SIN(A24*0.89)*PARAMETER!$B$14 + COS(A24*0.53)*(PARAMETER!$B$14*0.5), 3), IF(PARAMETER!$B$6="ramp", PARAMETER!$B$7 + (A24-1)*PARAMETER!$B$9 + ROUND(SIN(A24*0.89)*PARAMETER!$B$14, 3), IF(PARAMETER!$B$6="lonjakan", PARAMETER!$B$7 + IF(A24&gt;PARAMETER!$B$10, (A24-PARAMETER!$B$10)*PARAMETER!$B$11, 0) + ROUND(SIN(A24*0.89)*PARAMETER!$B$14, 3), IF(PARAMETER!$B$6="spike", PARAMETER!$B$7 + IF(A24=PARAMETER!$B$12, PARAMETER!$B$13, 0) + ROUND(SIN(A24*0.89)*PARAMETER!$B$14, 3), IF(PARAMETER!$B$6="naik_karena_beban", PARAMETER!$B$7 + (C24-PARAMETER!$B$8)*0.25 + ROUND(SIN(A24*0.89)*PARAMETER!$B$14, 3), PARAMETER!$B$7))))))</f>
        <v>38.472</v>
      </c>
      <c r="E24" s="9">
        <f>PARAMETER!$B$6 &amp; " (Jam " &amp; A24 &amp; ")"</f>
        <v/>
      </c>
    </row>
    <row r="25">
      <c r="A25" s="10" t="n">
        <v>22</v>
      </c>
      <c r="B25" s="10" t="inlineStr">
        <is>
          <t>2026-10-01 21:00:00</t>
        </is>
      </c>
      <c r="C25" s="11">
        <f>IF(PARAMETER!$B$6="naik_karena_beban", PARAMETER!$B$8 + IF(A25&gt;36, PARAMETER!$B$15, 0), PARAMETER!$B$8) + ROUND(SIN(A25*0.5)*0.5, 2)</f>
        <v>54.5</v>
      </c>
      <c r="D25" s="11">
        <f>IF(PARAMETER!$B$6="flatline", PARAMETER!$B$7, IF(PARAMETER!$B$6="datar", PARAMETER!$B$7 + ROUND(SIN(A25*0.89)*PARAMETER!$B$14 + COS(A25*0.53)*(PARAMETER!$B$14*0.5), 3), IF(PARAMETER!$B$6="ramp", PARAMETER!$B$7 + (A25-1)*PARAMETER!$B$9 + ROUND(SIN(A25*0.89)*PARAMETER!$B$14, 3), IF(PARAMETER!$B$6="lonjakan", PARAMETER!$B$7 + IF(A25&gt;PARAMETER!$B$10, (A25-PARAMETER!$B$10)*PARAMETER!$B$11, 0) + ROUND(SIN(A25*0.89)*PARAMETER!$B$14, 3), IF(PARAMETER!$B$6="spike", PARAMETER!$B$7 + IF(A25=PARAMETER!$B$12, PARAMETER!$B$13, 0) + ROUND(SIN(A25*0.89)*PARAMETER!$B$14, 3), IF(PARAMETER!$B$6="naik_karena_beban", PARAMETER!$B$7 + (C25-PARAMETER!$B$8)*0.25 + ROUND(SIN(A25*0.89)*PARAMETER!$B$14, 3), PARAMETER!$B$7))))))</f>
        <v>39.293</v>
      </c>
      <c r="E25" s="9">
        <f>PARAMETER!$B$6 &amp; " (Jam " &amp; A25 &amp; ")"</f>
        <v/>
      </c>
    </row>
    <row r="26">
      <c r="A26" s="10" t="n">
        <v>23</v>
      </c>
      <c r="B26" s="10" t="inlineStr">
        <is>
          <t>2026-10-01 22:00:00</t>
        </is>
      </c>
      <c r="C26" s="11">
        <f>IF(PARAMETER!$B$6="naik_karena_beban", PARAMETER!$B$8 + IF(A26&gt;36, PARAMETER!$B$15, 0), PARAMETER!$B$8) + ROUND(SIN(A26*0.5)*0.5, 2)</f>
        <v>54.56</v>
      </c>
      <c r="D26" s="11">
        <f>IF(PARAMETER!$B$6="flatline", PARAMETER!$B$7, IF(PARAMETER!$B$6="datar", PARAMETER!$B$7 + ROUND(SIN(A26*0.89)*PARAMETER!$B$14 + COS(A26*0.53)*(PARAMETER!$B$14*0.5), 3), IF(PARAMETER!$B$6="ramp", PARAMETER!$B$7 + (A26-1)*PARAMETER!$B$9 + ROUND(SIN(A26*0.89)*PARAMETER!$B$14, 3), IF(PARAMETER!$B$6="lonjakan", PARAMETER!$B$7 + IF(A26&gt;PARAMETER!$B$10, (A26-PARAMETER!$B$10)*PARAMETER!$B$11, 0) + ROUND(SIN(A26*0.89)*PARAMETER!$B$14, 3), IF(PARAMETER!$B$6="spike", PARAMETER!$B$7 + IF(A26=PARAMETER!$B$12, PARAMETER!$B$13, 0) + ROUND(SIN(A26*0.89)*PARAMETER!$B$14, 3), IF(PARAMETER!$B$6="naik_karena_beban", PARAMETER!$B$7 + (C26-PARAMETER!$B$8)*0.25 + ROUND(SIN(A26*0.89)*PARAMETER!$B$14, 3), PARAMETER!$B$7))))))</f>
        <v>39.939</v>
      </c>
      <c r="E26" s="9">
        <f>PARAMETER!$B$6 &amp; " (Jam " &amp; A26 &amp; ")"</f>
        <v/>
      </c>
    </row>
    <row r="27">
      <c r="A27" s="10" t="n">
        <v>24</v>
      </c>
      <c r="B27" s="10" t="inlineStr">
        <is>
          <t>2026-10-01 23:00:00</t>
        </is>
      </c>
      <c r="C27" s="11">
        <f>IF(PARAMETER!$B$6="naik_karena_beban", PARAMETER!$B$8 + IF(A27&gt;36, PARAMETER!$B$15, 0), PARAMETER!$B$8) + ROUND(SIN(A27*0.5)*0.5, 2)</f>
        <v>54.73</v>
      </c>
      <c r="D27" s="11">
        <f>IF(PARAMETER!$B$6="flatline", PARAMETER!$B$7, IF(PARAMETER!$B$6="datar", PARAMETER!$B$7 + ROUND(SIN(A27*0.89)*PARAMETER!$B$14 + COS(A27*0.53)*(PARAMETER!$B$14*0.5), 3), IF(PARAMETER!$B$6="ramp", PARAMETER!$B$7 + (A27-1)*PARAMETER!$B$9 + ROUND(SIN(A27*0.89)*PARAMETER!$B$14, 3), IF(PARAMETER!$B$6="lonjakan", PARAMETER!$B$7 + IF(A27&gt;PARAMETER!$B$10, (A27-PARAMETER!$B$10)*PARAMETER!$B$11, 0) + ROUND(SIN(A27*0.89)*PARAMETER!$B$14, 3), IF(PARAMETER!$B$6="spike", PARAMETER!$B$7 + IF(A27=PARAMETER!$B$12, PARAMETER!$B$13, 0) + ROUND(SIN(A27*0.89)*PARAMETER!$B$14, 3), IF(PARAMETER!$B$6="naik_karena_beban", PARAMETER!$B$7 + (C27-PARAMETER!$B$8)*0.25 + ROUND(SIN(A27*0.89)*PARAMETER!$B$14, 3), PARAMETER!$B$7))))))</f>
        <v>40.325</v>
      </c>
      <c r="E27" s="9">
        <f>PARAMETER!$B$6 &amp; " (Jam " &amp; A27 &amp; ")"</f>
        <v/>
      </c>
    </row>
    <row r="28">
      <c r="A28" s="10" t="n">
        <v>25</v>
      </c>
      <c r="B28" s="10" t="inlineStr">
        <is>
          <t>2026-10-02 00:00:00</t>
        </is>
      </c>
      <c r="C28" s="11">
        <f>IF(PARAMETER!$B$6="naik_karena_beban", PARAMETER!$B$8 + IF(A28&gt;36, PARAMETER!$B$15, 0), PARAMETER!$B$8) + ROUND(SIN(A28*0.5)*0.5, 2)</f>
        <v>54.97</v>
      </c>
      <c r="D28" s="11">
        <f>IF(PARAMETER!$B$6="flatline", PARAMETER!$B$7, IF(PARAMETER!$B$6="datar", PARAMETER!$B$7 + ROUND(SIN(A28*0.89)*PARAMETER!$B$14 + COS(A28*0.53)*(PARAMETER!$B$14*0.5), 3), IF(PARAMETER!$B$6="ramp", PARAMETER!$B$7 + (A28-1)*PARAMETER!$B$9 + ROUND(SIN(A28*0.89)*PARAMETER!$B$14, 3), IF(PARAMETER!$B$6="lonjakan", PARAMETER!$B$7 + IF(A28&gt;PARAMETER!$B$10, (A28-PARAMETER!$B$10)*PARAMETER!$B$11, 0) + ROUND(SIN(A28*0.89)*PARAMETER!$B$14, 3), IF(PARAMETER!$B$6="spike", PARAMETER!$B$7 + IF(A28=PARAMETER!$B$12, PARAMETER!$B$13, 0) + ROUND(SIN(A28*0.89)*PARAMETER!$B$14, 3), IF(PARAMETER!$B$6="naik_karena_beban", PARAMETER!$B$7 + (C28-PARAMETER!$B$8)*0.25 + ROUND(SIN(A28*0.89)*PARAMETER!$B$14, 3), PARAMETER!$B$7))))))</f>
        <v>40.54</v>
      </c>
      <c r="E28" s="9">
        <f>PARAMETER!$B$6 &amp; " (Jam " &amp; A28 &amp; ")"</f>
        <v/>
      </c>
    </row>
    <row r="29">
      <c r="A29" s="10" t="n">
        <v>26</v>
      </c>
      <c r="B29" s="10" t="inlineStr">
        <is>
          <t>2026-10-02 01:00:00</t>
        </is>
      </c>
      <c r="C29" s="11">
        <f>IF(PARAMETER!$B$6="naik_karena_beban", PARAMETER!$B$8 + IF(A29&gt;36, PARAMETER!$B$15, 0), PARAMETER!$B$8) + ROUND(SIN(A29*0.5)*0.5, 2)</f>
        <v>55.21</v>
      </c>
      <c r="D29" s="11">
        <f>IF(PARAMETER!$B$6="flatline", PARAMETER!$B$7, IF(PARAMETER!$B$6="datar", PARAMETER!$B$7 + ROUND(SIN(A29*0.89)*PARAMETER!$B$14 + COS(A29*0.53)*(PARAMETER!$B$14*0.5), 3), IF(PARAMETER!$B$6="ramp", PARAMETER!$B$7 + (A29-1)*PARAMETER!$B$9 + ROUND(SIN(A29*0.89)*PARAMETER!$B$14, 3), IF(PARAMETER!$B$6="lonjakan", PARAMETER!$B$7 + IF(A29&gt;PARAMETER!$B$10, (A29-PARAMETER!$B$10)*PARAMETER!$B$11, 0) + ROUND(SIN(A29*0.89)*PARAMETER!$B$14, 3), IF(PARAMETER!$B$6="spike", PARAMETER!$B$7 + IF(A29=PARAMETER!$B$12, PARAMETER!$B$13, 0) + ROUND(SIN(A29*0.89)*PARAMETER!$B$14, 3), IF(PARAMETER!$B$6="naik_karena_beban", PARAMETER!$B$7 + (C29-PARAMETER!$B$8)*0.25 + ROUND(SIN(A29*0.89)*PARAMETER!$B$14, 3), PARAMETER!$B$7))))))</f>
        <v>40.779</v>
      </c>
      <c r="E29" s="9">
        <f>PARAMETER!$B$6 &amp; " (Jam " &amp; A29 &amp; ")"</f>
        <v/>
      </c>
    </row>
    <row r="30">
      <c r="A30" s="10" t="n">
        <v>27</v>
      </c>
      <c r="B30" s="10" t="inlineStr">
        <is>
          <t>2026-10-02 02:00:00</t>
        </is>
      </c>
      <c r="C30" s="11">
        <f>IF(PARAMETER!$B$6="naik_karena_beban", PARAMETER!$B$8 + IF(A30&gt;36, PARAMETER!$B$15, 0), PARAMETER!$B$8) + ROUND(SIN(A30*0.5)*0.5, 2)</f>
        <v>55.4</v>
      </c>
      <c r="D30" s="11">
        <f>IF(PARAMETER!$B$6="flatline", PARAMETER!$B$7, IF(PARAMETER!$B$6="datar", PARAMETER!$B$7 + ROUND(SIN(A30*0.89)*PARAMETER!$B$14 + COS(A30*0.53)*(PARAMETER!$B$14*0.5), 3), IF(PARAMETER!$B$6="ramp", PARAMETER!$B$7 + (A30-1)*PARAMETER!$B$9 + ROUND(SIN(A30*0.89)*PARAMETER!$B$14, 3), IF(PARAMETER!$B$6="lonjakan", PARAMETER!$B$7 + IF(A30&gt;PARAMETER!$B$10, (A30-PARAMETER!$B$10)*PARAMETER!$B$11, 0) + ROUND(SIN(A30*0.89)*PARAMETER!$B$14, 3), IF(PARAMETER!$B$6="spike", PARAMETER!$B$7 + IF(A30=PARAMETER!$B$12, PARAMETER!$B$13, 0) + ROUND(SIN(A30*0.89)*PARAMETER!$B$14, 3), IF(PARAMETER!$B$6="naik_karena_beban", PARAMETER!$B$7 + (C30-PARAMETER!$B$8)*0.25 + ROUND(SIN(A30*0.89)*PARAMETER!$B$14, 3), PARAMETER!$B$7))))))</f>
        <v>41.206</v>
      </c>
      <c r="E30" s="9">
        <f>PARAMETER!$B$6 &amp; " (Jam " &amp; A30 &amp; ")"</f>
        <v/>
      </c>
    </row>
    <row r="31">
      <c r="A31" s="10" t="n">
        <v>28</v>
      </c>
      <c r="B31" s="10" t="inlineStr">
        <is>
          <t>2026-10-02 03:00:00</t>
        </is>
      </c>
      <c r="C31" s="11">
        <f>IF(PARAMETER!$B$6="naik_karena_beban", PARAMETER!$B$8 + IF(A31&gt;36, PARAMETER!$B$15, 0), PARAMETER!$B$8) + ROUND(SIN(A31*0.5)*0.5, 2)</f>
        <v>55.5</v>
      </c>
      <c r="D31" s="11">
        <f>IF(PARAMETER!$B$6="flatline", PARAMETER!$B$7, IF(PARAMETER!$B$6="datar", PARAMETER!$B$7 + ROUND(SIN(A31*0.89)*PARAMETER!$B$14 + COS(A31*0.53)*(PARAMETER!$B$14*0.5), 3), IF(PARAMETER!$B$6="ramp", PARAMETER!$B$7 + (A31-1)*PARAMETER!$B$9 + ROUND(SIN(A31*0.89)*PARAMETER!$B$14, 3), IF(PARAMETER!$B$6="lonjakan", PARAMETER!$B$7 + IF(A31&gt;PARAMETER!$B$10, (A31-PARAMETER!$B$10)*PARAMETER!$B$11, 0) + ROUND(SIN(A31*0.89)*PARAMETER!$B$14, 3), IF(PARAMETER!$B$6="spike", PARAMETER!$B$7 + IF(A31=PARAMETER!$B$12, PARAMETER!$B$13, 0) + ROUND(SIN(A31*0.89)*PARAMETER!$B$14, 3), IF(PARAMETER!$B$6="naik_karena_beban", PARAMETER!$B$7 + (C31-PARAMETER!$B$8)*0.25 + ROUND(SIN(A31*0.89)*PARAMETER!$B$14, 3), PARAMETER!$B$7))))))</f>
        <v>41.84</v>
      </c>
      <c r="E31" s="9">
        <f>PARAMETER!$B$6 &amp; " (Jam " &amp; A31 &amp; ")"</f>
        <v/>
      </c>
    </row>
    <row r="32">
      <c r="A32" s="10" t="n">
        <v>29</v>
      </c>
      <c r="B32" s="10" t="inlineStr">
        <is>
          <t>2026-10-02 04:00:00</t>
        </is>
      </c>
      <c r="C32" s="11">
        <f>IF(PARAMETER!$B$6="naik_karena_beban", PARAMETER!$B$8 + IF(A32&gt;36, PARAMETER!$B$15, 0), PARAMETER!$B$8) + ROUND(SIN(A32*0.5)*0.5, 2)</f>
        <v>55.47</v>
      </c>
      <c r="D32" s="11">
        <f>IF(PARAMETER!$B$6="flatline", PARAMETER!$B$7, IF(PARAMETER!$B$6="datar", PARAMETER!$B$7 + ROUND(SIN(A32*0.89)*PARAMETER!$B$14 + COS(A32*0.53)*(PARAMETER!$B$14*0.5), 3), IF(PARAMETER!$B$6="ramp", PARAMETER!$B$7 + (A32-1)*PARAMETER!$B$9 + ROUND(SIN(A32*0.89)*PARAMETER!$B$14, 3), IF(PARAMETER!$B$6="lonjakan", PARAMETER!$B$7 + IF(A32&gt;PARAMETER!$B$10, (A32-PARAMETER!$B$10)*PARAMETER!$B$11, 0) + ROUND(SIN(A32*0.89)*PARAMETER!$B$14, 3), IF(PARAMETER!$B$6="spike", PARAMETER!$B$7 + IF(A32=PARAMETER!$B$12, PARAMETER!$B$13, 0) + ROUND(SIN(A32*0.89)*PARAMETER!$B$14, 3), IF(PARAMETER!$B$6="naik_karena_beban", PARAMETER!$B$7 + (C32-PARAMETER!$B$8)*0.25 + ROUND(SIN(A32*0.89)*PARAMETER!$B$14, 3), PARAMETER!$B$7))))))</f>
        <v>42.546</v>
      </c>
      <c r="E32" s="9">
        <f>PARAMETER!$B$6 &amp; " (Jam " &amp; A32 &amp; ")"</f>
        <v/>
      </c>
    </row>
    <row r="33">
      <c r="A33" s="10" t="n">
        <v>30</v>
      </c>
      <c r="B33" s="10" t="inlineStr">
        <is>
          <t>2026-10-02 05:00:00</t>
        </is>
      </c>
      <c r="C33" s="11">
        <f>IF(PARAMETER!$B$6="naik_karena_beban", PARAMETER!$B$8 + IF(A33&gt;36, PARAMETER!$B$15, 0), PARAMETER!$B$8) + ROUND(SIN(A33*0.5)*0.5, 2)</f>
        <v>55.33</v>
      </c>
      <c r="D33" s="11">
        <f>IF(PARAMETER!$B$6="flatline", PARAMETER!$B$7, IF(PARAMETER!$B$6="datar", PARAMETER!$B$7 + ROUND(SIN(A33*0.89)*PARAMETER!$B$14 + COS(A33*0.53)*(PARAMETER!$B$14*0.5), 3), IF(PARAMETER!$B$6="ramp", PARAMETER!$B$7 + (A33-1)*PARAMETER!$B$9 + ROUND(SIN(A33*0.89)*PARAMETER!$B$14, 3), IF(PARAMETER!$B$6="lonjakan", PARAMETER!$B$7 + IF(A33&gt;PARAMETER!$B$10, (A33-PARAMETER!$B$10)*PARAMETER!$B$11, 0) + ROUND(SIN(A33*0.89)*PARAMETER!$B$14, 3), IF(PARAMETER!$B$6="spike", PARAMETER!$B$7 + IF(A33=PARAMETER!$B$12, PARAMETER!$B$13, 0) + ROUND(SIN(A33*0.89)*PARAMETER!$B$14, 3), IF(PARAMETER!$B$6="naik_karena_beban", PARAMETER!$B$7 + (C33-PARAMETER!$B$8)*0.25 + ROUND(SIN(A33*0.89)*PARAMETER!$B$14, 3), PARAMETER!$B$7))))))</f>
        <v>43.153</v>
      </c>
      <c r="E33" s="9">
        <f>PARAMETER!$B$6 &amp; " (Jam " &amp; A33 &amp; ")"</f>
        <v/>
      </c>
    </row>
    <row r="34">
      <c r="A34" s="10" t="n">
        <v>31</v>
      </c>
      <c r="B34" s="10" t="inlineStr">
        <is>
          <t>2026-10-02 06:00:00</t>
        </is>
      </c>
      <c r="C34" s="11">
        <f>IF(PARAMETER!$B$6="naik_karena_beban", PARAMETER!$B$8 + IF(A34&gt;36, PARAMETER!$B$15, 0), PARAMETER!$B$8) + ROUND(SIN(A34*0.5)*0.5, 2)</f>
        <v>55.1</v>
      </c>
      <c r="D34" s="11">
        <f>IF(PARAMETER!$B$6="flatline", PARAMETER!$B$7, IF(PARAMETER!$B$6="datar", PARAMETER!$B$7 + ROUND(SIN(A34*0.89)*PARAMETER!$B$14 + COS(A34*0.53)*(PARAMETER!$B$14*0.5), 3), IF(PARAMETER!$B$6="ramp", PARAMETER!$B$7 + (A34-1)*PARAMETER!$B$9 + ROUND(SIN(A34*0.89)*PARAMETER!$B$14, 3), IF(PARAMETER!$B$6="lonjakan", PARAMETER!$B$7 + IF(A34&gt;PARAMETER!$B$10, (A34-PARAMETER!$B$10)*PARAMETER!$B$11, 0) + ROUND(SIN(A34*0.89)*PARAMETER!$B$14, 3), IF(PARAMETER!$B$6="spike", PARAMETER!$B$7 + IF(A34=PARAMETER!$B$12, PARAMETER!$B$13, 0) + ROUND(SIN(A34*0.89)*PARAMETER!$B$14, 3), IF(PARAMETER!$B$6="naik_karena_beban", PARAMETER!$B$7 + (C34-PARAMETER!$B$8)*0.25 + ROUND(SIN(A34*0.89)*PARAMETER!$B$14, 3), PARAMETER!$B$7))))))</f>
        <v>43.577</v>
      </c>
      <c r="E34" s="9">
        <f>PARAMETER!$B$6 &amp; " (Jam " &amp; A34 &amp; ")"</f>
        <v/>
      </c>
    </row>
    <row r="35">
      <c r="A35" s="10" t="n">
        <v>32</v>
      </c>
      <c r="B35" s="10" t="inlineStr">
        <is>
          <t>2026-10-02 07:00:00</t>
        </is>
      </c>
      <c r="C35" s="11">
        <f>IF(PARAMETER!$B$6="naik_karena_beban", PARAMETER!$B$8 + IF(A35&gt;36, PARAMETER!$B$15, 0), PARAMETER!$B$8) + ROUND(SIN(A35*0.5)*0.5, 2)</f>
        <v>54.86</v>
      </c>
      <c r="D35" s="11">
        <f>IF(PARAMETER!$B$6="flatline", PARAMETER!$B$7, IF(PARAMETER!$B$6="datar", PARAMETER!$B$7 + ROUND(SIN(A35*0.89)*PARAMETER!$B$14 + COS(A35*0.53)*(PARAMETER!$B$14*0.5), 3), IF(PARAMETER!$B$6="ramp", PARAMETER!$B$7 + (A35-1)*PARAMETER!$B$9 + ROUND(SIN(A35*0.89)*PARAMETER!$B$14, 3), IF(PARAMETER!$B$6="lonjakan", PARAMETER!$B$7 + IF(A35&gt;PARAMETER!$B$10, (A35-PARAMETER!$B$10)*PARAMETER!$B$11, 0) + ROUND(SIN(A35*0.89)*PARAMETER!$B$14, 3), IF(PARAMETER!$B$6="spike", PARAMETER!$B$7 + IF(A35=PARAMETER!$B$12, PARAMETER!$B$13, 0) + ROUND(SIN(A35*0.89)*PARAMETER!$B$14, 3), IF(PARAMETER!$B$6="naik_karena_beban", PARAMETER!$B$7 + (C35-PARAMETER!$B$8)*0.25 + ROUND(SIN(A35*0.89)*PARAMETER!$B$14, 3), PARAMETER!$B$7))))))</f>
        <v>43.892</v>
      </c>
      <c r="E35" s="9">
        <f>PARAMETER!$B$6 &amp; " (Jam " &amp; A35 &amp; ")"</f>
        <v/>
      </c>
    </row>
    <row r="36">
      <c r="A36" s="10" t="n">
        <v>33</v>
      </c>
      <c r="B36" s="10" t="inlineStr">
        <is>
          <t>2026-10-02 08:00:00</t>
        </is>
      </c>
      <c r="C36" s="11">
        <f>IF(PARAMETER!$B$6="naik_karena_beban", PARAMETER!$B$8 + IF(A36&gt;36, PARAMETER!$B$15, 0), PARAMETER!$B$8) + ROUND(SIN(A36*0.5)*0.5, 2)</f>
        <v>54.64</v>
      </c>
      <c r="D36" s="11">
        <f>IF(PARAMETER!$B$6="flatline", PARAMETER!$B$7, IF(PARAMETER!$B$6="datar", PARAMETER!$B$7 + ROUND(SIN(A36*0.89)*PARAMETER!$B$14 + COS(A36*0.53)*(PARAMETER!$B$14*0.5), 3), IF(PARAMETER!$B$6="ramp", PARAMETER!$B$7 + (A36-1)*PARAMETER!$B$9 + ROUND(SIN(A36*0.89)*PARAMETER!$B$14, 3), IF(PARAMETER!$B$6="lonjakan", PARAMETER!$B$7 + IF(A36&gt;PARAMETER!$B$10, (A36-PARAMETER!$B$10)*PARAMETER!$B$11, 0) + ROUND(SIN(A36*0.89)*PARAMETER!$B$14, 3), IF(PARAMETER!$B$6="spike", PARAMETER!$B$7 + IF(A36=PARAMETER!$B$12, PARAMETER!$B$13, 0) + ROUND(SIN(A36*0.89)*PARAMETER!$B$14, 3), IF(PARAMETER!$B$6="naik_karena_beban", PARAMETER!$B$7 + (C36-PARAMETER!$B$8)*0.25 + ROUND(SIN(A36*0.89)*PARAMETER!$B$14, 3), PARAMETER!$B$7))))))</f>
        <v>44.265</v>
      </c>
      <c r="E36" s="9">
        <f>PARAMETER!$B$6 &amp; " (Jam " &amp; A36 &amp; ")"</f>
        <v/>
      </c>
    </row>
    <row r="37">
      <c r="A37" s="10" t="n">
        <v>34</v>
      </c>
      <c r="B37" s="10" t="inlineStr">
        <is>
          <t>2026-10-02 09:00:00</t>
        </is>
      </c>
      <c r="C37" s="11">
        <f>IF(PARAMETER!$B$6="naik_karena_beban", PARAMETER!$B$8 + IF(A37&gt;36, PARAMETER!$B$15, 0), PARAMETER!$B$8) + ROUND(SIN(A37*0.5)*0.5, 2)</f>
        <v>54.52</v>
      </c>
      <c r="D37" s="11">
        <f>IF(PARAMETER!$B$6="flatline", PARAMETER!$B$7, IF(PARAMETER!$B$6="datar", PARAMETER!$B$7 + ROUND(SIN(A37*0.89)*PARAMETER!$B$14 + COS(A37*0.53)*(PARAMETER!$B$14*0.5), 3), IF(PARAMETER!$B$6="ramp", PARAMETER!$B$7 + (A37-1)*PARAMETER!$B$9 + ROUND(SIN(A37*0.89)*PARAMETER!$B$14, 3), IF(PARAMETER!$B$6="lonjakan", PARAMETER!$B$7 + IF(A37&gt;PARAMETER!$B$10, (A37-PARAMETER!$B$10)*PARAMETER!$B$11, 0) + ROUND(SIN(A37*0.89)*PARAMETER!$B$14, 3), IF(PARAMETER!$B$6="spike", PARAMETER!$B$7 + IF(A37=PARAMETER!$B$12, PARAMETER!$B$13, 0) + ROUND(SIN(A37*0.89)*PARAMETER!$B$14, 3), IF(PARAMETER!$B$6="naik_karena_beban", PARAMETER!$B$7 + (C37-PARAMETER!$B$8)*0.25 + ROUND(SIN(A37*0.89)*PARAMETER!$B$14, 3), PARAMETER!$B$7))))))</f>
        <v>44.827</v>
      </c>
      <c r="E37" s="9">
        <f>PARAMETER!$B$6 &amp; " (Jam " &amp; A37 &amp; ")"</f>
        <v/>
      </c>
    </row>
    <row r="38">
      <c r="A38" s="10" t="n">
        <v>35</v>
      </c>
      <c r="B38" s="10" t="inlineStr">
        <is>
          <t>2026-10-02 10:00:00</t>
        </is>
      </c>
      <c r="C38" s="11">
        <f>IF(PARAMETER!$B$6="naik_karena_beban", PARAMETER!$B$8 + IF(A38&gt;36, PARAMETER!$B$15, 0), PARAMETER!$B$8) + ROUND(SIN(A38*0.5)*0.5, 2)</f>
        <v>54.51</v>
      </c>
      <c r="D38" s="11">
        <f>IF(PARAMETER!$B$6="flatline", PARAMETER!$B$7, IF(PARAMETER!$B$6="datar", PARAMETER!$B$7 + ROUND(SIN(A38*0.89)*PARAMETER!$B$14 + COS(A38*0.53)*(PARAMETER!$B$14*0.5), 3), IF(PARAMETER!$B$6="ramp", PARAMETER!$B$7 + (A38-1)*PARAMETER!$B$9 + ROUND(SIN(A38*0.89)*PARAMETER!$B$14, 3), IF(PARAMETER!$B$6="lonjakan", PARAMETER!$B$7 + IF(A38&gt;PARAMETER!$B$10, (A38-PARAMETER!$B$10)*PARAMETER!$B$11, 0) + ROUND(SIN(A38*0.89)*PARAMETER!$B$14, 3), IF(PARAMETER!$B$6="spike", PARAMETER!$B$7 + IF(A38=PARAMETER!$B$12, PARAMETER!$B$13, 0) + ROUND(SIN(A38*0.89)*PARAMETER!$B$14, 3), IF(PARAMETER!$B$6="naik_karena_beban", PARAMETER!$B$7 + (C38-PARAMETER!$B$8)*0.25 + ROUND(SIN(A38*0.89)*PARAMETER!$B$14, 3), PARAMETER!$B$7))))))</f>
        <v>45.564</v>
      </c>
      <c r="E38" s="9">
        <f>PARAMETER!$B$6 &amp; " (Jam " &amp; A38 &amp; ")"</f>
        <v/>
      </c>
    </row>
    <row r="39">
      <c r="A39" s="10" t="n">
        <v>36</v>
      </c>
      <c r="B39" s="10" t="inlineStr">
        <is>
          <t>2026-10-02 11:00:00</t>
        </is>
      </c>
      <c r="C39" s="11">
        <f>IF(PARAMETER!$B$6="naik_karena_beban", PARAMETER!$B$8 + IF(A39&gt;36, PARAMETER!$B$15, 0), PARAMETER!$B$8) + ROUND(SIN(A39*0.5)*0.5, 2)</f>
        <v>54.62</v>
      </c>
      <c r="D39" s="11">
        <f>IF(PARAMETER!$B$6="flatline", PARAMETER!$B$7, IF(PARAMETER!$B$6="datar", PARAMETER!$B$7 + ROUND(SIN(A39*0.89)*PARAMETER!$B$14 + COS(A39*0.53)*(PARAMETER!$B$14*0.5), 3), IF(PARAMETER!$B$6="ramp", PARAMETER!$B$7 + (A39-1)*PARAMETER!$B$9 + ROUND(SIN(A39*0.89)*PARAMETER!$B$14, 3), IF(PARAMETER!$B$6="lonjakan", PARAMETER!$B$7 + IF(A39&gt;PARAMETER!$B$10, (A39-PARAMETER!$B$10)*PARAMETER!$B$11, 0) + ROUND(SIN(A39*0.89)*PARAMETER!$B$14, 3), IF(PARAMETER!$B$6="spike", PARAMETER!$B$7 + IF(A39=PARAMETER!$B$12, PARAMETER!$B$13, 0) + ROUND(SIN(A39*0.89)*PARAMETER!$B$14, 3), IF(PARAMETER!$B$6="naik_karena_beban", PARAMETER!$B$7 + (C39-PARAMETER!$B$8)*0.25 + ROUND(SIN(A39*0.89)*PARAMETER!$B$14, 3), PARAMETER!$B$7))))))</f>
        <v>46.321</v>
      </c>
      <c r="E39" s="9">
        <f>PARAMETER!$B$6 &amp; " (Jam " &amp; A39 &amp; ")"</f>
        <v/>
      </c>
    </row>
    <row r="40">
      <c r="A40" s="10" t="n">
        <v>37</v>
      </c>
      <c r="B40" s="10" t="inlineStr">
        <is>
          <t>2026-10-02 12:00:00</t>
        </is>
      </c>
      <c r="C40" s="11">
        <f>IF(PARAMETER!$B$6="naik_karena_beban", PARAMETER!$B$8 + IF(A40&gt;36, PARAMETER!$B$15, 0), PARAMETER!$B$8) + ROUND(SIN(A40*0.5)*0.5, 2)</f>
        <v>54.83</v>
      </c>
      <c r="D40" s="11">
        <f>IF(PARAMETER!$B$6="flatline", PARAMETER!$B$7, IF(PARAMETER!$B$6="datar", PARAMETER!$B$7 + ROUND(SIN(A40*0.89)*PARAMETER!$B$14 + COS(A40*0.53)*(PARAMETER!$B$14*0.5), 3), IF(PARAMETER!$B$6="ramp", PARAMETER!$B$7 + (A40-1)*PARAMETER!$B$9 + ROUND(SIN(A40*0.89)*PARAMETER!$B$14, 3), IF(PARAMETER!$B$6="lonjakan", PARAMETER!$B$7 + IF(A40&gt;PARAMETER!$B$10, (A40-PARAMETER!$B$10)*PARAMETER!$B$11, 0) + ROUND(SIN(A40*0.89)*PARAMETER!$B$14, 3), IF(PARAMETER!$B$6="spike", PARAMETER!$B$7 + IF(A40=PARAMETER!$B$12, PARAMETER!$B$13, 0) + ROUND(SIN(A40*0.89)*PARAMETER!$B$14, 3), IF(PARAMETER!$B$6="naik_karena_beban", PARAMETER!$B$7 + (C40-PARAMETER!$B$8)*0.25 + ROUND(SIN(A40*0.89)*PARAMETER!$B$14, 3), PARAMETER!$B$7))))))</f>
        <v>46.908</v>
      </c>
      <c r="E40" s="9">
        <f>PARAMETER!$B$6 &amp; " (Jam " &amp; A40 &amp; ")"</f>
        <v/>
      </c>
    </row>
    <row r="41">
      <c r="A41" s="10" t="n">
        <v>38</v>
      </c>
      <c r="B41" s="10" t="inlineStr">
        <is>
          <t>2026-10-02 13:00:00</t>
        </is>
      </c>
      <c r="C41" s="11">
        <f>IF(PARAMETER!$B$6="naik_karena_beban", PARAMETER!$B$8 + IF(A41&gt;36, PARAMETER!$B$15, 0), PARAMETER!$B$8) + ROUND(SIN(A41*0.5)*0.5, 2)</f>
        <v>55.07</v>
      </c>
      <c r="D41" s="11">
        <f>IF(PARAMETER!$B$6="flatline", PARAMETER!$B$7, IF(PARAMETER!$B$6="datar", PARAMETER!$B$7 + ROUND(SIN(A41*0.89)*PARAMETER!$B$14 + COS(A41*0.53)*(PARAMETER!$B$14*0.5), 3), IF(PARAMETER!$B$6="ramp", PARAMETER!$B$7 + (A41-1)*PARAMETER!$B$9 + ROUND(SIN(A41*0.89)*PARAMETER!$B$14, 3), IF(PARAMETER!$B$6="lonjakan", PARAMETER!$B$7 + IF(A41&gt;PARAMETER!$B$10, (A41-PARAMETER!$B$10)*PARAMETER!$B$11, 0) + ROUND(SIN(A41*0.89)*PARAMETER!$B$14, 3), IF(PARAMETER!$B$6="spike", PARAMETER!$B$7 + IF(A41=PARAMETER!$B$12, PARAMETER!$B$13, 0) + ROUND(SIN(A41*0.89)*PARAMETER!$B$14, 3), IF(PARAMETER!$B$6="naik_karena_beban", PARAMETER!$B$7 + (C41-PARAMETER!$B$8)*0.25 + ROUND(SIN(A41*0.89)*PARAMETER!$B$14, 3), PARAMETER!$B$7))))))</f>
        <v>47.243</v>
      </c>
      <c r="E41" s="9">
        <f>PARAMETER!$B$6 &amp; " (Jam " &amp; A41 &amp; ")"</f>
        <v/>
      </c>
    </row>
    <row r="42">
      <c r="A42" s="10" t="n">
        <v>39</v>
      </c>
      <c r="B42" s="10" t="inlineStr">
        <is>
          <t>2026-10-02 14:00:00</t>
        </is>
      </c>
      <c r="C42" s="11">
        <f>IF(PARAMETER!$B$6="naik_karena_beban", PARAMETER!$B$8 + IF(A42&gt;36, PARAMETER!$B$15, 0), PARAMETER!$B$8) + ROUND(SIN(A42*0.5)*0.5, 2)</f>
        <v>55.3</v>
      </c>
      <c r="D42" s="11">
        <f>IF(PARAMETER!$B$6="flatline", PARAMETER!$B$7, IF(PARAMETER!$B$6="datar", PARAMETER!$B$7 + ROUND(SIN(A42*0.89)*PARAMETER!$B$14 + COS(A42*0.53)*(PARAMETER!$B$14*0.5), 3), IF(PARAMETER!$B$6="ramp", PARAMETER!$B$7 + (A42-1)*PARAMETER!$B$9 + ROUND(SIN(A42*0.89)*PARAMETER!$B$14, 3), IF(PARAMETER!$B$6="lonjakan", PARAMETER!$B$7 + IF(A42&gt;PARAMETER!$B$10, (A42-PARAMETER!$B$10)*PARAMETER!$B$11, 0) + ROUND(SIN(A42*0.89)*PARAMETER!$B$14, 3), IF(PARAMETER!$B$6="spike", PARAMETER!$B$7 + IF(A42=PARAMETER!$B$12, PARAMETER!$B$13, 0) + ROUND(SIN(A42*0.89)*PARAMETER!$B$14, 3), IF(PARAMETER!$B$6="naik_karena_beban", PARAMETER!$B$7 + (C42-PARAMETER!$B$8)*0.25 + ROUND(SIN(A42*0.89)*PARAMETER!$B$14, 3), PARAMETER!$B$7))))))</f>
        <v>47.417</v>
      </c>
      <c r="E42" s="9">
        <f>PARAMETER!$B$6 &amp; " (Jam " &amp; A42 &amp; ")"</f>
        <v/>
      </c>
    </row>
    <row r="43">
      <c r="A43" s="10" t="n">
        <v>40</v>
      </c>
      <c r="B43" s="10" t="inlineStr">
        <is>
          <t>2026-10-02 15:00:00</t>
        </is>
      </c>
      <c r="C43" s="11">
        <f>IF(PARAMETER!$B$6="naik_karena_beban", PARAMETER!$B$8 + IF(A43&gt;36, PARAMETER!$B$15, 0), PARAMETER!$B$8) + ROUND(SIN(A43*0.5)*0.5, 2)</f>
        <v>55.46</v>
      </c>
      <c r="D43" s="11">
        <f>IF(PARAMETER!$B$6="flatline", PARAMETER!$B$7, IF(PARAMETER!$B$6="datar", PARAMETER!$B$7 + ROUND(SIN(A43*0.89)*PARAMETER!$B$14 + COS(A43*0.53)*(PARAMETER!$B$14*0.5), 3), IF(PARAMETER!$B$6="ramp", PARAMETER!$B$7 + (A43-1)*PARAMETER!$B$9 + ROUND(SIN(A43*0.89)*PARAMETER!$B$14, 3), IF(PARAMETER!$B$6="lonjakan", PARAMETER!$B$7 + IF(A43&gt;PARAMETER!$B$10, (A43-PARAMETER!$B$10)*PARAMETER!$B$11, 0) + ROUND(SIN(A43*0.89)*PARAMETER!$B$14, 3), IF(PARAMETER!$B$6="spike", PARAMETER!$B$7 + IF(A43=PARAMETER!$B$12, PARAMETER!$B$13, 0) + ROUND(SIN(A43*0.89)*PARAMETER!$B$14, 3), IF(PARAMETER!$B$6="naik_karena_beban", PARAMETER!$B$7 + (C43-PARAMETER!$B$8)*0.25 + ROUND(SIN(A43*0.89)*PARAMETER!$B$14, 3), PARAMETER!$B$7))))))</f>
        <v>47.635</v>
      </c>
      <c r="E43" s="9">
        <f>PARAMETER!$B$6 &amp; " (Jam " &amp; A43 &amp; ")"</f>
        <v/>
      </c>
    </row>
    <row r="44">
      <c r="A44" s="10" t="n">
        <v>41</v>
      </c>
      <c r="B44" s="10" t="inlineStr">
        <is>
          <t>2026-10-02 16:00:00</t>
        </is>
      </c>
      <c r="C44" s="11">
        <f>IF(PARAMETER!$B$6="naik_karena_beban", PARAMETER!$B$8 + IF(A44&gt;36, PARAMETER!$B$15, 0), PARAMETER!$B$8) + ROUND(SIN(A44*0.5)*0.5, 2)</f>
        <v>55.5</v>
      </c>
      <c r="D44" s="11">
        <f>IF(PARAMETER!$B$6="flatline", PARAMETER!$B$7, IF(PARAMETER!$B$6="datar", PARAMETER!$B$7 + ROUND(SIN(A44*0.89)*PARAMETER!$B$14 + COS(A44*0.53)*(PARAMETER!$B$14*0.5), 3), IF(PARAMETER!$B$6="ramp", PARAMETER!$B$7 + (A44-1)*PARAMETER!$B$9 + ROUND(SIN(A44*0.89)*PARAMETER!$B$14, 3), IF(PARAMETER!$B$6="lonjakan", PARAMETER!$B$7 + IF(A44&gt;PARAMETER!$B$10, (A44-PARAMETER!$B$10)*PARAMETER!$B$11, 0) + ROUND(SIN(A44*0.89)*PARAMETER!$B$14, 3), IF(PARAMETER!$B$6="spike", PARAMETER!$B$7 + IF(A44=PARAMETER!$B$12, PARAMETER!$B$13, 0) + ROUND(SIN(A44*0.89)*PARAMETER!$B$14, 3), IF(PARAMETER!$B$6="naik_karena_beban", PARAMETER!$B$7 + (C44-PARAMETER!$B$8)*0.25 + ROUND(SIN(A44*0.89)*PARAMETER!$B$14, 3), PARAMETER!$B$7))))))</f>
        <v>48.074</v>
      </c>
      <c r="E44" s="9">
        <f>PARAMETER!$B$6 &amp; " (Jam " &amp; A44 &amp; ")"</f>
        <v/>
      </c>
    </row>
    <row r="45">
      <c r="A45" s="10" t="n">
        <v>42</v>
      </c>
      <c r="B45" s="10" t="inlineStr">
        <is>
          <t>2026-10-02 17:00:00</t>
        </is>
      </c>
      <c r="C45" s="11">
        <f>IF(PARAMETER!$B$6="naik_karena_beban", PARAMETER!$B$8 + IF(A45&gt;36, PARAMETER!$B$15, 0), PARAMETER!$B$8) + ROUND(SIN(A45*0.5)*0.5, 2)</f>
        <v>55.42</v>
      </c>
      <c r="D45" s="11">
        <f>IF(PARAMETER!$B$6="flatline", PARAMETER!$B$7, IF(PARAMETER!$B$6="datar", PARAMETER!$B$7 + ROUND(SIN(A45*0.89)*PARAMETER!$B$14 + COS(A45*0.53)*(PARAMETER!$B$14*0.5), 3), IF(PARAMETER!$B$6="ramp", PARAMETER!$B$7 + (A45-1)*PARAMETER!$B$9 + ROUND(SIN(A45*0.89)*PARAMETER!$B$14, 3), IF(PARAMETER!$B$6="lonjakan", PARAMETER!$B$7 + IF(A45&gt;PARAMETER!$B$10, (A45-PARAMETER!$B$10)*PARAMETER!$B$11, 0) + ROUND(SIN(A45*0.89)*PARAMETER!$B$14, 3), IF(PARAMETER!$B$6="spike", PARAMETER!$B$7 + IF(A45=PARAMETER!$B$12, PARAMETER!$B$13, 0) + ROUND(SIN(A45*0.89)*PARAMETER!$B$14, 3), IF(PARAMETER!$B$6="naik_karena_beban", PARAMETER!$B$7 + (C45-PARAMETER!$B$8)*0.25 + ROUND(SIN(A45*0.89)*PARAMETER!$B$14, 3), PARAMETER!$B$7))))))</f>
        <v>48.761</v>
      </c>
      <c r="E45" s="9">
        <f>PARAMETER!$B$6 &amp; " (Jam " &amp; A45 &amp; ")"</f>
        <v/>
      </c>
    </row>
    <row r="46">
      <c r="A46" s="10" t="n">
        <v>43</v>
      </c>
      <c r="B46" s="10" t="inlineStr">
        <is>
          <t>2026-10-02 18:00:00</t>
        </is>
      </c>
      <c r="C46" s="11">
        <f>IF(PARAMETER!$B$6="naik_karena_beban", PARAMETER!$B$8 + IF(A46&gt;36, PARAMETER!$B$15, 0), PARAMETER!$B$8) + ROUND(SIN(A46*0.5)*0.5, 2)</f>
        <v>55.24</v>
      </c>
      <c r="D46" s="11">
        <f>IF(PARAMETER!$B$6="flatline", PARAMETER!$B$7, IF(PARAMETER!$B$6="datar", PARAMETER!$B$7 + ROUND(SIN(A46*0.89)*PARAMETER!$B$14 + COS(A46*0.53)*(PARAMETER!$B$14*0.5), 3), IF(PARAMETER!$B$6="ramp", PARAMETER!$B$7 + (A46-1)*PARAMETER!$B$9 + ROUND(SIN(A46*0.89)*PARAMETER!$B$14, 3), IF(PARAMETER!$B$6="lonjakan", PARAMETER!$B$7 + IF(A46&gt;PARAMETER!$B$10, (A46-PARAMETER!$B$10)*PARAMETER!$B$11, 0) + ROUND(SIN(A46*0.89)*PARAMETER!$B$14, 3), IF(PARAMETER!$B$6="spike", PARAMETER!$B$7 + IF(A46=PARAMETER!$B$12, PARAMETER!$B$13, 0) + ROUND(SIN(A46*0.89)*PARAMETER!$B$14, 3), IF(PARAMETER!$B$6="naik_karena_beban", PARAMETER!$B$7 + (C46-PARAMETER!$B$8)*0.25 + ROUND(SIN(A46*0.89)*PARAMETER!$B$14, 3), PARAMETER!$B$7))))))</f>
        <v>49.557</v>
      </c>
      <c r="E46" s="9">
        <f>PARAMETER!$B$6 &amp; " (Jam " &amp; A46 &amp; ")"</f>
        <v/>
      </c>
    </row>
    <row r="47">
      <c r="A47" s="10" t="n">
        <v>44</v>
      </c>
      <c r="B47" s="10" t="inlineStr">
        <is>
          <t>2026-10-02 19:00:00</t>
        </is>
      </c>
      <c r="C47" s="11">
        <f>IF(PARAMETER!$B$6="naik_karena_beban", PARAMETER!$B$8 + IF(A47&gt;36, PARAMETER!$B$15, 0), PARAMETER!$B$8) + ROUND(SIN(A47*0.5)*0.5, 2)</f>
        <v>55.0</v>
      </c>
      <c r="D47" s="11">
        <f>IF(PARAMETER!$B$6="flatline", PARAMETER!$B$7, IF(PARAMETER!$B$6="datar", PARAMETER!$B$7 + ROUND(SIN(A47*0.89)*PARAMETER!$B$14 + COS(A47*0.53)*(PARAMETER!$B$14*0.5), 3), IF(PARAMETER!$B$6="ramp", PARAMETER!$B$7 + (A47-1)*PARAMETER!$B$9 + ROUND(SIN(A47*0.89)*PARAMETER!$B$14, 3), IF(PARAMETER!$B$6="lonjakan", PARAMETER!$B$7 + IF(A47&gt;PARAMETER!$B$10, (A47-PARAMETER!$B$10)*PARAMETER!$B$11, 0) + ROUND(SIN(A47*0.89)*PARAMETER!$B$14, 3), IF(PARAMETER!$B$6="spike", PARAMETER!$B$7 + IF(A47=PARAMETER!$B$12, PARAMETER!$B$13, 0) + ROUND(SIN(A47*0.89)*PARAMETER!$B$14, 3), IF(PARAMETER!$B$6="naik_karena_beban", PARAMETER!$B$7 + (C47-PARAMETER!$B$8)*0.25 + ROUND(SIN(A47*0.89)*PARAMETER!$B$14, 3), PARAMETER!$B$7))))))</f>
        <v>50.262</v>
      </c>
      <c r="E47" s="9">
        <f>PARAMETER!$B$6 &amp; " (Jam " &amp; A47 &amp; ")"</f>
        <v/>
      </c>
    </row>
    <row r="48">
      <c r="A48" s="10" t="n">
        <v>45</v>
      </c>
      <c r="B48" s="10" t="inlineStr">
        <is>
          <t>2026-10-02 20:00:00</t>
        </is>
      </c>
      <c r="C48" s="11">
        <f>IF(PARAMETER!$B$6="naik_karena_beban", PARAMETER!$B$8 + IF(A48&gt;36, PARAMETER!$B$15, 0), PARAMETER!$B$8) + ROUND(SIN(A48*0.5)*0.5, 2)</f>
        <v>54.76</v>
      </c>
      <c r="D48" s="11">
        <f>IF(PARAMETER!$B$6="flatline", PARAMETER!$B$7, IF(PARAMETER!$B$6="datar", PARAMETER!$B$7 + ROUND(SIN(A48*0.89)*PARAMETER!$B$14 + COS(A48*0.53)*(PARAMETER!$B$14*0.5), 3), IF(PARAMETER!$B$6="ramp", PARAMETER!$B$7 + (A48-1)*PARAMETER!$B$9 + ROUND(SIN(A48*0.89)*PARAMETER!$B$14, 3), IF(PARAMETER!$B$6="lonjakan", PARAMETER!$B$7 + IF(A48&gt;PARAMETER!$B$10, (A48-PARAMETER!$B$10)*PARAMETER!$B$11, 0) + ROUND(SIN(A48*0.89)*PARAMETER!$B$14, 3), IF(PARAMETER!$B$6="spike", PARAMETER!$B$7 + IF(A48=PARAMETER!$B$12, PARAMETER!$B$13, 0) + ROUND(SIN(A48*0.89)*PARAMETER!$B$14, 3), IF(PARAMETER!$B$6="naik_karena_beban", PARAMETER!$B$7 + (C48-PARAMETER!$B$8)*0.25 + ROUND(SIN(A48*0.89)*PARAMETER!$B$14, 3), PARAMETER!$B$7))))))</f>
        <v>50.756</v>
      </c>
      <c r="E48" s="9">
        <f>PARAMETER!$B$6 &amp; " (Jam " &amp; A48 &amp; ")"</f>
        <v/>
      </c>
    </row>
    <row r="49">
      <c r="A49" s="10" t="n">
        <v>46</v>
      </c>
      <c r="B49" s="10" t="inlineStr">
        <is>
          <t>2026-10-02 21:00:00</t>
        </is>
      </c>
      <c r="C49" s="11">
        <f>IF(PARAMETER!$B$6="naik_karena_beban", PARAMETER!$B$8 + IF(A49&gt;36, PARAMETER!$B$15, 0), PARAMETER!$B$8) + ROUND(SIN(A49*0.5)*0.5, 2)</f>
        <v>54.58</v>
      </c>
      <c r="D49" s="11">
        <f>IF(PARAMETER!$B$6="flatline", PARAMETER!$B$7, IF(PARAMETER!$B$6="datar", PARAMETER!$B$7 + ROUND(SIN(A49*0.89)*PARAMETER!$B$14 + COS(A49*0.53)*(PARAMETER!$B$14*0.5), 3), IF(PARAMETER!$B$6="ramp", PARAMETER!$B$7 + (A49-1)*PARAMETER!$B$9 + ROUND(SIN(A49*0.89)*PARAMETER!$B$14, 3), IF(PARAMETER!$B$6="lonjakan", PARAMETER!$B$7 + IF(A49&gt;PARAMETER!$B$10, (A49-PARAMETER!$B$10)*PARAMETER!$B$11, 0) + ROUND(SIN(A49*0.89)*PARAMETER!$B$14, 3), IF(PARAMETER!$B$6="spike", PARAMETER!$B$7 + IF(A49=PARAMETER!$B$12, PARAMETER!$B$13, 0) + ROUND(SIN(A49*0.89)*PARAMETER!$B$14, 3), IF(PARAMETER!$B$6="naik_karena_beban", PARAMETER!$B$7 + (C49-PARAMETER!$B$8)*0.25 + ROUND(SIN(A49*0.89)*PARAMETER!$B$14, 3), PARAMETER!$B$7))))))</f>
        <v>51.08</v>
      </c>
      <c r="E49" s="9">
        <f>PARAMETER!$B$6 &amp; " (Jam " &amp; A49 &amp; ")"</f>
        <v/>
      </c>
    </row>
    <row r="50">
      <c r="A50" s="10" t="n">
        <v>47</v>
      </c>
      <c r="B50" s="10" t="inlineStr">
        <is>
          <t>2026-10-02 22:00:00</t>
        </is>
      </c>
      <c r="C50" s="11">
        <f>IF(PARAMETER!$B$6="naik_karena_beban", PARAMETER!$B$8 + IF(A50&gt;36, PARAMETER!$B$15, 0), PARAMETER!$B$8) + ROUND(SIN(A50*0.5)*0.5, 2)</f>
        <v>54.5</v>
      </c>
      <c r="D50" s="11">
        <f>IF(PARAMETER!$B$6="flatline", PARAMETER!$B$7, IF(PARAMETER!$B$6="datar", PARAMETER!$B$7 + ROUND(SIN(A50*0.89)*PARAMETER!$B$14 + COS(A50*0.53)*(PARAMETER!$B$14*0.5), 3), IF(PARAMETER!$B$6="ramp", PARAMETER!$B$7 + (A50-1)*PARAMETER!$B$9 + ROUND(SIN(A50*0.89)*PARAMETER!$B$14, 3), IF(PARAMETER!$B$6="lonjakan", PARAMETER!$B$7 + IF(A50&gt;PARAMETER!$B$10, (A50-PARAMETER!$B$10)*PARAMETER!$B$11, 0) + ROUND(SIN(A50*0.89)*PARAMETER!$B$14, 3), IF(PARAMETER!$B$6="spike", PARAMETER!$B$7 + IF(A50=PARAMETER!$B$12, PARAMETER!$B$13, 0) + ROUND(SIN(A50*0.89)*PARAMETER!$B$14, 3), IF(PARAMETER!$B$6="naik_karena_beban", PARAMETER!$B$7 + (C50-PARAMETER!$B$8)*0.25 + ROUND(SIN(A50*0.89)*PARAMETER!$B$14, 3), PARAMETER!$B$7))))))</f>
        <v>51.396</v>
      </c>
      <c r="E50" s="9">
        <f>PARAMETER!$B$6 &amp; " (Jam " &amp; A50 &amp; ")"</f>
        <v/>
      </c>
    </row>
    <row r="51">
      <c r="A51" s="10" t="n">
        <v>48</v>
      </c>
      <c r="B51" s="10" t="inlineStr">
        <is>
          <t>2026-10-02 23:00:00</t>
        </is>
      </c>
      <c r="C51" s="11">
        <f>IF(PARAMETER!$B$6="naik_karena_beban", PARAMETER!$B$8 + IF(A51&gt;36, PARAMETER!$B$15, 0), PARAMETER!$B$8) + ROUND(SIN(A51*0.5)*0.5, 2)</f>
        <v>54.55</v>
      </c>
      <c r="D51" s="11">
        <f>IF(PARAMETER!$B$6="flatline", PARAMETER!$B$7, IF(PARAMETER!$B$6="datar", PARAMETER!$B$7 + ROUND(SIN(A51*0.89)*PARAMETER!$B$14 + COS(A51*0.53)*(PARAMETER!$B$14*0.5), 3), IF(PARAMETER!$B$6="ramp", PARAMETER!$B$7 + (A51-1)*PARAMETER!$B$9 + ROUND(SIN(A51*0.89)*PARAMETER!$B$14, 3), IF(PARAMETER!$B$6="lonjakan", PARAMETER!$B$7 + IF(A51&gt;PARAMETER!$B$10, (A51-PARAMETER!$B$10)*PARAMETER!$B$11, 0) + ROUND(SIN(A51*0.89)*PARAMETER!$B$14, 3), IF(PARAMETER!$B$6="spike", PARAMETER!$B$7 + IF(A51=PARAMETER!$B$12, PARAMETER!$B$13, 0) + ROUND(SIN(A51*0.89)*PARAMETER!$B$14, 3), IF(PARAMETER!$B$6="naik_karena_beban", PARAMETER!$B$7 + (C51-PARAMETER!$B$8)*0.25 + ROUND(SIN(A51*0.89)*PARAMETER!$B$14, 3), PARAMETER!$B$7))))))</f>
        <v>51.857</v>
      </c>
      <c r="E51" s="9">
        <f>PARAMETER!$B$6 &amp; " (Jam " &amp; A51 &amp; ")"</f>
        <v/>
      </c>
    </row>
    <row r="52">
      <c r="A52" s="10" t="n">
        <v>49</v>
      </c>
      <c r="B52" s="10" t="inlineStr">
        <is>
          <t>2026-10-03 00:00:00</t>
        </is>
      </c>
      <c r="C52" s="11">
        <f>IF(PARAMETER!$B$6="naik_karena_beban", PARAMETER!$B$8 + IF(A52&gt;36, PARAMETER!$B$15, 0), PARAMETER!$B$8) + ROUND(SIN(A52*0.5)*0.5, 2)</f>
        <v>54.7</v>
      </c>
      <c r="D52" s="11">
        <f>IF(PARAMETER!$B$6="flatline", PARAMETER!$B$7, IF(PARAMETER!$B$6="datar", PARAMETER!$B$7 + ROUND(SIN(A52*0.89)*PARAMETER!$B$14 + COS(A52*0.53)*(PARAMETER!$B$14*0.5), 3), IF(PARAMETER!$B$6="ramp", PARAMETER!$B$7 + (A52-1)*PARAMETER!$B$9 + ROUND(SIN(A52*0.89)*PARAMETER!$B$14, 3), IF(PARAMETER!$B$6="lonjakan", PARAMETER!$B$7 + IF(A52&gt;PARAMETER!$B$10, (A52-PARAMETER!$B$10)*PARAMETER!$B$11, 0) + ROUND(SIN(A52*0.89)*PARAMETER!$B$14, 3), IF(PARAMETER!$B$6="spike", PARAMETER!$B$7 + IF(A52=PARAMETER!$B$12, PARAMETER!$B$13, 0) + ROUND(SIN(A52*0.89)*PARAMETER!$B$14, 3), IF(PARAMETER!$B$6="naik_karena_beban", PARAMETER!$B$7 + (C52-PARAMETER!$B$8)*0.25 + ROUND(SIN(A52*0.89)*PARAMETER!$B$14, 3), PARAMETER!$B$7))))))</f>
        <v>52.491</v>
      </c>
      <c r="E52" s="9">
        <f>PARAMETER!$B$6 &amp; " (Jam " &amp; A52 &amp; ")"</f>
        <v/>
      </c>
    </row>
    <row r="53">
      <c r="A53" s="10" t="n">
        <v>50</v>
      </c>
      <c r="B53" s="10" t="inlineStr">
        <is>
          <t>2026-10-03 01:00:00</t>
        </is>
      </c>
      <c r="C53" s="11">
        <f>IF(PARAMETER!$B$6="naik_karena_beban", PARAMETER!$B$8 + IF(A53&gt;36, PARAMETER!$B$15, 0), PARAMETER!$B$8) + ROUND(SIN(A53*0.5)*0.5, 2)</f>
        <v>54.93</v>
      </c>
      <c r="D53" s="11">
        <f>IF(PARAMETER!$B$6="flatline", PARAMETER!$B$7, IF(PARAMETER!$B$6="datar", PARAMETER!$B$7 + ROUND(SIN(A53*0.89)*PARAMETER!$B$14 + COS(A53*0.53)*(PARAMETER!$B$14*0.5), 3), IF(PARAMETER!$B$6="ramp", PARAMETER!$B$7 + (A53-1)*PARAMETER!$B$9 + ROUND(SIN(A53*0.89)*PARAMETER!$B$14, 3), IF(PARAMETER!$B$6="lonjakan", PARAMETER!$B$7 + IF(A53&gt;PARAMETER!$B$10, (A53-PARAMETER!$B$10)*PARAMETER!$B$11, 0) + ROUND(SIN(A53*0.89)*PARAMETER!$B$14, 3), IF(PARAMETER!$B$6="spike", PARAMETER!$B$7 + IF(A53=PARAMETER!$B$12, PARAMETER!$B$13, 0) + ROUND(SIN(A53*0.89)*PARAMETER!$B$14, 3), IF(PARAMETER!$B$6="naik_karena_beban", PARAMETER!$B$7 + (C53-PARAMETER!$B$8)*0.25 + ROUND(SIN(A53*0.89)*PARAMETER!$B$14, 3), PARAMETER!$B$7))))))</f>
        <v>53.179</v>
      </c>
      <c r="E53" s="9">
        <f>PARAMETER!$B$6 &amp; " (Jam " &amp; A53 &amp; ")"</f>
        <v/>
      </c>
    </row>
    <row r="54">
      <c r="A54" s="10" t="n">
        <v>51</v>
      </c>
      <c r="B54" s="10" t="inlineStr">
        <is>
          <t>2026-10-03 02:00:00</t>
        </is>
      </c>
      <c r="C54" s="11">
        <f>IF(PARAMETER!$B$6="naik_karena_beban", PARAMETER!$B$8 + IF(A54&gt;36, PARAMETER!$B$15, 0), PARAMETER!$B$8) + ROUND(SIN(A54*0.5)*0.5, 2)</f>
        <v>55.18</v>
      </c>
      <c r="D54" s="11">
        <f>IF(PARAMETER!$B$6="flatline", PARAMETER!$B$7, IF(PARAMETER!$B$6="datar", PARAMETER!$B$7 + ROUND(SIN(A54*0.89)*PARAMETER!$B$14 + COS(A54*0.53)*(PARAMETER!$B$14*0.5), 3), IF(PARAMETER!$B$6="ramp", PARAMETER!$B$7 + (A54-1)*PARAMETER!$B$9 + ROUND(SIN(A54*0.89)*PARAMETER!$B$14, 3), IF(PARAMETER!$B$6="lonjakan", PARAMETER!$B$7 + IF(A54&gt;PARAMETER!$B$10, (A54-PARAMETER!$B$10)*PARAMETER!$B$11, 0) + ROUND(SIN(A54*0.89)*PARAMETER!$B$14, 3), IF(PARAMETER!$B$6="spike", PARAMETER!$B$7 + IF(A54=PARAMETER!$B$12, PARAMETER!$B$13, 0) + ROUND(SIN(A54*0.89)*PARAMETER!$B$14, 3), IF(PARAMETER!$B$6="naik_karena_beban", PARAMETER!$B$7 + (C54-PARAMETER!$B$8)*0.25 + ROUND(SIN(A54*0.89)*PARAMETER!$B$14, 3), PARAMETER!$B$7))))))</f>
        <v>53.748</v>
      </c>
      <c r="E54" s="9">
        <f>PARAMETER!$B$6 &amp; " (Jam " &amp; A54 &amp; ")"</f>
        <v/>
      </c>
    </row>
    <row r="55">
      <c r="A55" s="10" t="n">
        <v>52</v>
      </c>
      <c r="B55" s="10" t="inlineStr">
        <is>
          <t>2026-10-03 03:00:00</t>
        </is>
      </c>
      <c r="C55" s="11">
        <f>IF(PARAMETER!$B$6="naik_karena_beban", PARAMETER!$B$8 + IF(A55&gt;36, PARAMETER!$B$15, 0), PARAMETER!$B$8) + ROUND(SIN(A55*0.5)*0.5, 2)</f>
        <v>55.38</v>
      </c>
      <c r="D55" s="11">
        <f>IF(PARAMETER!$B$6="flatline", PARAMETER!$B$7, IF(PARAMETER!$B$6="datar", PARAMETER!$B$7 + ROUND(SIN(A55*0.89)*PARAMETER!$B$14 + COS(A55*0.53)*(PARAMETER!$B$14*0.5), 3), IF(PARAMETER!$B$6="ramp", PARAMETER!$B$7 + (A55-1)*PARAMETER!$B$9 + ROUND(SIN(A55*0.89)*PARAMETER!$B$14, 3), IF(PARAMETER!$B$6="lonjakan", PARAMETER!$B$7 + IF(A55&gt;PARAMETER!$B$10, (A55-PARAMETER!$B$10)*PARAMETER!$B$11, 0) + ROUND(SIN(A55*0.89)*PARAMETER!$B$14, 3), IF(PARAMETER!$B$6="spike", PARAMETER!$B$7 + IF(A55=PARAMETER!$B$12, PARAMETER!$B$13, 0) + ROUND(SIN(A55*0.89)*PARAMETER!$B$14, 3), IF(PARAMETER!$B$6="naik_karena_beban", PARAMETER!$B$7 + (C55-PARAMETER!$B$8)*0.25 + ROUND(SIN(A55*0.89)*PARAMETER!$B$14, 3), PARAMETER!$B$7))))))</f>
        <v>54.111</v>
      </c>
      <c r="E55" s="9">
        <f>PARAMETER!$B$6 &amp; " (Jam " &amp; A55 &amp; ")"</f>
        <v/>
      </c>
    </row>
    <row r="56">
      <c r="A56" s="10" t="n">
        <v>53</v>
      </c>
      <c r="B56" s="10" t="inlineStr">
        <is>
          <t>2026-10-03 04:00:00</t>
        </is>
      </c>
      <c r="C56" s="11">
        <f>IF(PARAMETER!$B$6="naik_karena_beban", PARAMETER!$B$8 + IF(A56&gt;36, PARAMETER!$B$15, 0), PARAMETER!$B$8) + ROUND(SIN(A56*0.5)*0.5, 2)</f>
        <v>55.49</v>
      </c>
      <c r="D56" s="11">
        <f>IF(PARAMETER!$B$6="flatline", PARAMETER!$B$7, IF(PARAMETER!$B$6="datar", PARAMETER!$B$7 + ROUND(SIN(A56*0.89)*PARAMETER!$B$14 + COS(A56*0.53)*(PARAMETER!$B$14*0.5), 3), IF(PARAMETER!$B$6="ramp", PARAMETER!$B$7 + (A56-1)*PARAMETER!$B$9 + ROUND(SIN(A56*0.89)*PARAMETER!$B$14, 3), IF(PARAMETER!$B$6="lonjakan", PARAMETER!$B$7 + IF(A56&gt;PARAMETER!$B$10, (A56-PARAMETER!$B$10)*PARAMETER!$B$11, 0) + ROUND(SIN(A56*0.89)*PARAMETER!$B$14, 3), IF(PARAMETER!$B$6="spike", PARAMETER!$B$7 + IF(A56=PARAMETER!$B$12, PARAMETER!$B$13, 0) + ROUND(SIN(A56*0.89)*PARAMETER!$B$14, 3), IF(PARAMETER!$B$6="naik_karena_beban", PARAMETER!$B$7 + (C56-PARAMETER!$B$8)*0.25 + ROUND(SIN(A56*0.89)*PARAMETER!$B$14, 3), PARAMETER!$B$7))))))</f>
        <v>54.339</v>
      </c>
      <c r="E56" s="9">
        <f>PARAMETER!$B$6 &amp; " (Jam " &amp; A56 &amp; ")"</f>
        <v/>
      </c>
    </row>
    <row r="57">
      <c r="A57" s="10" t="n">
        <v>54</v>
      </c>
      <c r="B57" s="10" t="inlineStr">
        <is>
          <t>2026-10-03 05:00:00</t>
        </is>
      </c>
      <c r="C57" s="11">
        <f>IF(PARAMETER!$B$6="naik_karena_beban", PARAMETER!$B$8 + IF(A57&gt;36, PARAMETER!$B$15, 0), PARAMETER!$B$8) + ROUND(SIN(A57*0.5)*0.5, 2)</f>
        <v>55.48</v>
      </c>
      <c r="D57" s="11">
        <f>IF(PARAMETER!$B$6="flatline", PARAMETER!$B$7, IF(PARAMETER!$B$6="datar", PARAMETER!$B$7 + ROUND(SIN(A57*0.89)*PARAMETER!$B$14 + COS(A57*0.53)*(PARAMETER!$B$14*0.5), 3), IF(PARAMETER!$B$6="ramp", PARAMETER!$B$7 + (A57-1)*PARAMETER!$B$9 + ROUND(SIN(A57*0.89)*PARAMETER!$B$14, 3), IF(PARAMETER!$B$6="lonjakan", PARAMETER!$B$7 + IF(A57&gt;PARAMETER!$B$10, (A57-PARAMETER!$B$10)*PARAMETER!$B$11, 0) + ROUND(SIN(A57*0.89)*PARAMETER!$B$14, 3), IF(PARAMETER!$B$6="spike", PARAMETER!$B$7 + IF(A57=PARAMETER!$B$12, PARAMETER!$B$13, 0) + ROUND(SIN(A57*0.89)*PARAMETER!$B$14, 3), IF(PARAMETER!$B$6="naik_karena_beban", PARAMETER!$B$7 + (C57-PARAMETER!$B$8)*0.25 + ROUND(SIN(A57*0.89)*PARAMETER!$B$14, 3), PARAMETER!$B$7))))))</f>
        <v>54.617</v>
      </c>
      <c r="E57" s="9">
        <f>PARAMETER!$B$6 &amp; " (Jam " &amp; A57 &amp; ")"</f>
        <v/>
      </c>
    </row>
    <row r="58">
      <c r="A58" s="10" t="n">
        <v>55</v>
      </c>
      <c r="B58" s="10" t="inlineStr">
        <is>
          <t>2026-10-03 06:00:00</t>
        </is>
      </c>
      <c r="C58" s="11">
        <f>IF(PARAMETER!$B$6="naik_karena_beban", PARAMETER!$B$8 + IF(A58&gt;36, PARAMETER!$B$15, 0), PARAMETER!$B$8) + ROUND(SIN(A58*0.5)*0.5, 2)</f>
        <v>55.35</v>
      </c>
      <c r="D58" s="11">
        <f>IF(PARAMETER!$B$6="flatline", PARAMETER!$B$7, IF(PARAMETER!$B$6="datar", PARAMETER!$B$7 + ROUND(SIN(A58*0.89)*PARAMETER!$B$14 + COS(A58*0.53)*(PARAMETER!$B$14*0.5), 3), IF(PARAMETER!$B$6="ramp", PARAMETER!$B$7 + (A58-1)*PARAMETER!$B$9 + ROUND(SIN(A58*0.89)*PARAMETER!$B$14, 3), IF(PARAMETER!$B$6="lonjakan", PARAMETER!$B$7 + IF(A58&gt;PARAMETER!$B$10, (A58-PARAMETER!$B$10)*PARAMETER!$B$11, 0) + ROUND(SIN(A58*0.89)*PARAMETER!$B$14, 3), IF(PARAMETER!$B$6="spike", PARAMETER!$B$7 + IF(A58=PARAMETER!$B$12, PARAMETER!$B$13, 0) + ROUND(SIN(A58*0.89)*PARAMETER!$B$14, 3), IF(PARAMETER!$B$6="naik_karena_beban", PARAMETER!$B$7 + (C58-PARAMETER!$B$8)*0.25 + ROUND(SIN(A58*0.89)*PARAMETER!$B$14, 3), PARAMETER!$B$7))))))</f>
        <v>55.114</v>
      </c>
      <c r="E58" s="9">
        <f>PARAMETER!$B$6 &amp; " (Jam " &amp; A58 &amp; ")"</f>
        <v/>
      </c>
    </row>
    <row r="59">
      <c r="A59" s="10" t="n">
        <v>56</v>
      </c>
      <c r="B59" s="10" t="inlineStr">
        <is>
          <t>2026-10-03 07:00:00</t>
        </is>
      </c>
      <c r="C59" s="11">
        <f>IF(PARAMETER!$B$6="naik_karena_beban", PARAMETER!$B$8 + IF(A59&gt;36, PARAMETER!$B$15, 0), PARAMETER!$B$8) + ROUND(SIN(A59*0.5)*0.5, 2)</f>
        <v>55.14</v>
      </c>
      <c r="D59" s="11">
        <f>IF(PARAMETER!$B$6="flatline", PARAMETER!$B$7, IF(PARAMETER!$B$6="datar", PARAMETER!$B$7 + ROUND(SIN(A59*0.89)*PARAMETER!$B$14 + COS(A59*0.53)*(PARAMETER!$B$14*0.5), 3), IF(PARAMETER!$B$6="ramp", PARAMETER!$B$7 + (A59-1)*PARAMETER!$B$9 + ROUND(SIN(A59*0.89)*PARAMETER!$B$14, 3), IF(PARAMETER!$B$6="lonjakan", PARAMETER!$B$7 + IF(A59&gt;PARAMETER!$B$10, (A59-PARAMETER!$B$10)*PARAMETER!$B$11, 0) + ROUND(SIN(A59*0.89)*PARAMETER!$B$14, 3), IF(PARAMETER!$B$6="spike", PARAMETER!$B$7 + IF(A59=PARAMETER!$B$12, PARAMETER!$B$13, 0) + ROUND(SIN(A59*0.89)*PARAMETER!$B$14, 3), IF(PARAMETER!$B$6="naik_karena_beban", PARAMETER!$B$7 + (C59-PARAMETER!$B$8)*0.25 + ROUND(SIN(A59*0.89)*PARAMETER!$B$14, 3), PARAMETER!$B$7))))))</f>
        <v>55.852</v>
      </c>
      <c r="E59" s="9">
        <f>PARAMETER!$B$6 &amp; " (Jam " &amp; A59 &amp; ")"</f>
        <v/>
      </c>
    </row>
    <row r="60">
      <c r="A60" s="10" t="n">
        <v>57</v>
      </c>
      <c r="B60" s="10" t="inlineStr">
        <is>
          <t>2026-10-03 08:00:00</t>
        </is>
      </c>
      <c r="C60" s="11">
        <f>IF(PARAMETER!$B$6="naik_karena_beban", PARAMETER!$B$8 + IF(A60&gt;36, PARAMETER!$B$15, 0), PARAMETER!$B$8) + ROUND(SIN(A60*0.5)*0.5, 2)</f>
        <v>54.89</v>
      </c>
      <c r="D60" s="11">
        <f>IF(PARAMETER!$B$6="flatline", PARAMETER!$B$7, IF(PARAMETER!$B$6="datar", PARAMETER!$B$7 + ROUND(SIN(A60*0.89)*PARAMETER!$B$14 + COS(A60*0.53)*(PARAMETER!$B$14*0.5), 3), IF(PARAMETER!$B$6="ramp", PARAMETER!$B$7 + (A60-1)*PARAMETER!$B$9 + ROUND(SIN(A60*0.89)*PARAMETER!$B$14, 3), IF(PARAMETER!$B$6="lonjakan", PARAMETER!$B$7 + IF(A60&gt;PARAMETER!$B$10, (A60-PARAMETER!$B$10)*PARAMETER!$B$11, 0) + ROUND(SIN(A60*0.89)*PARAMETER!$B$14, 3), IF(PARAMETER!$B$6="spike", PARAMETER!$B$7 + IF(A60=PARAMETER!$B$12, PARAMETER!$B$13, 0) + ROUND(SIN(A60*0.89)*PARAMETER!$B$14, 3), IF(PARAMETER!$B$6="naik_karena_beban", PARAMETER!$B$7 + (C60-PARAMETER!$B$8)*0.25 + ROUND(SIN(A60*0.89)*PARAMETER!$B$14, 3), PARAMETER!$B$7))))))</f>
        <v>56.688</v>
      </c>
      <c r="E60" s="9">
        <f>PARAMETER!$B$6 &amp; " (Jam " &amp; A60 &amp; ")"</f>
        <v/>
      </c>
    </row>
    <row r="61">
      <c r="A61" s="10" t="n">
        <v>58</v>
      </c>
      <c r="B61" s="10" t="inlineStr">
        <is>
          <t>2026-10-03 09:00:00</t>
        </is>
      </c>
      <c r="C61" s="11">
        <f>IF(PARAMETER!$B$6="naik_karena_beban", PARAMETER!$B$8 + IF(A61&gt;36, PARAMETER!$B$15, 0), PARAMETER!$B$8) + ROUND(SIN(A61*0.5)*0.5, 2)</f>
        <v>54.67</v>
      </c>
      <c r="D61" s="11">
        <f>IF(PARAMETER!$B$6="flatline", PARAMETER!$B$7, IF(PARAMETER!$B$6="datar", PARAMETER!$B$7 + ROUND(SIN(A61*0.89)*PARAMETER!$B$14 + COS(A61*0.53)*(PARAMETER!$B$14*0.5), 3), IF(PARAMETER!$B$6="ramp", PARAMETER!$B$7 + (A61-1)*PARAMETER!$B$9 + ROUND(SIN(A61*0.89)*PARAMETER!$B$14, 3), IF(PARAMETER!$B$6="lonjakan", PARAMETER!$B$7 + IF(A61&gt;PARAMETER!$B$10, (A61-PARAMETER!$B$10)*PARAMETER!$B$11, 0) + ROUND(SIN(A61*0.89)*PARAMETER!$B$14, 3), IF(PARAMETER!$B$6="spike", PARAMETER!$B$7 + IF(A61=PARAMETER!$B$12, PARAMETER!$B$13, 0) + ROUND(SIN(A61*0.89)*PARAMETER!$B$14, 3), IF(PARAMETER!$B$6="naik_karena_beban", PARAMETER!$B$7 + (C61-PARAMETER!$B$8)*0.25 + ROUND(SIN(A61*0.89)*PARAMETER!$B$14, 3), PARAMETER!$B$7))))))</f>
        <v>57.41</v>
      </c>
      <c r="E61" s="9">
        <f>PARAMETER!$B$6 &amp; " (Jam " &amp; A61 &amp; ")"</f>
        <v/>
      </c>
    </row>
    <row r="62">
      <c r="A62" s="10" t="n">
        <v>59</v>
      </c>
      <c r="B62" s="10" t="inlineStr">
        <is>
          <t>2026-10-03 10:00:00</t>
        </is>
      </c>
      <c r="C62" s="11">
        <f>IF(PARAMETER!$B$6="naik_karena_beban", PARAMETER!$B$8 + IF(A62&gt;36, PARAMETER!$B$15, 0), PARAMETER!$B$8) + ROUND(SIN(A62*0.5)*0.5, 2)</f>
        <v>54.53</v>
      </c>
      <c r="D62" s="11">
        <f>IF(PARAMETER!$B$6="flatline", PARAMETER!$B$7, IF(PARAMETER!$B$6="datar", PARAMETER!$B$7 + ROUND(SIN(A62*0.89)*PARAMETER!$B$14 + COS(A62*0.53)*(PARAMETER!$B$14*0.5), 3), IF(PARAMETER!$B$6="ramp", PARAMETER!$B$7 + (A62-1)*PARAMETER!$B$9 + ROUND(SIN(A62*0.89)*PARAMETER!$B$14, 3), IF(PARAMETER!$B$6="lonjakan", PARAMETER!$B$7 + IF(A62&gt;PARAMETER!$B$10, (A62-PARAMETER!$B$10)*PARAMETER!$B$11, 0) + ROUND(SIN(A62*0.89)*PARAMETER!$B$14, 3), IF(PARAMETER!$B$6="spike", PARAMETER!$B$7 + IF(A62=PARAMETER!$B$12, PARAMETER!$B$13, 0) + ROUND(SIN(A62*0.89)*PARAMETER!$B$14, 3), IF(PARAMETER!$B$6="naik_karena_beban", PARAMETER!$B$7 + (C62-PARAMETER!$B$8)*0.25 + ROUND(SIN(A62*0.89)*PARAMETER!$B$14, 3), PARAMETER!$B$7))))))</f>
        <v>57.883</v>
      </c>
      <c r="E62" s="9">
        <f>PARAMETER!$B$6 &amp; " (Jam " &amp; A62 &amp; ")"</f>
        <v/>
      </c>
    </row>
    <row r="63">
      <c r="A63" s="10" t="n">
        <v>60</v>
      </c>
      <c r="B63" s="10" t="inlineStr">
        <is>
          <t>2026-10-03 11:00:00</t>
        </is>
      </c>
      <c r="C63" s="11">
        <f>IF(PARAMETER!$B$6="naik_karena_beban", PARAMETER!$B$8 + IF(A63&gt;36, PARAMETER!$B$15, 0), PARAMETER!$B$8) + ROUND(SIN(A63*0.5)*0.5, 2)</f>
        <v>54.51</v>
      </c>
      <c r="D63" s="11">
        <f>IF(PARAMETER!$B$6="flatline", PARAMETER!$B$7, IF(PARAMETER!$B$6="datar", PARAMETER!$B$7 + ROUND(SIN(A63*0.89)*PARAMETER!$B$14 + COS(A63*0.53)*(PARAMETER!$B$14*0.5), 3), IF(PARAMETER!$B$6="ramp", PARAMETER!$B$7 + (A63-1)*PARAMETER!$B$9 + ROUND(SIN(A63*0.89)*PARAMETER!$B$14, 3), IF(PARAMETER!$B$6="lonjakan", PARAMETER!$B$7 + IF(A63&gt;PARAMETER!$B$10, (A63-PARAMETER!$B$10)*PARAMETER!$B$11, 0) + ROUND(SIN(A63*0.89)*PARAMETER!$B$14, 3), IF(PARAMETER!$B$6="spike", PARAMETER!$B$7 + IF(A63=PARAMETER!$B$12, PARAMETER!$B$13, 0) + ROUND(SIN(A63*0.89)*PARAMETER!$B$14, 3), IF(PARAMETER!$B$6="naik_karena_beban", PARAMETER!$B$7 + (C63-PARAMETER!$B$8)*0.25 + ROUND(SIN(A63*0.89)*PARAMETER!$B$14, 3), PARAMETER!$B$7))))))</f>
        <v>58.141</v>
      </c>
      <c r="E63" s="9">
        <f>PARAMETER!$B$6 &amp; " (Jam " &amp; A63 &amp; ")"</f>
        <v/>
      </c>
    </row>
    <row r="64">
      <c r="A64" s="10" t="n">
        <v>61</v>
      </c>
      <c r="B64" s="10" t="inlineStr">
        <is>
          <t>2026-10-03 12:00:00</t>
        </is>
      </c>
      <c r="C64" s="11">
        <f>IF(PARAMETER!$B$6="naik_karena_beban", PARAMETER!$B$8 + IF(A64&gt;36, PARAMETER!$B$15, 0), PARAMETER!$B$8) + ROUND(SIN(A64*0.5)*0.5, 2)</f>
        <v>54.6</v>
      </c>
      <c r="D64" s="11">
        <f>IF(PARAMETER!$B$6="flatline", PARAMETER!$B$7, IF(PARAMETER!$B$6="datar", PARAMETER!$B$7 + ROUND(SIN(A64*0.89)*PARAMETER!$B$14 + COS(A64*0.53)*(PARAMETER!$B$14*0.5), 3), IF(PARAMETER!$B$6="ramp", PARAMETER!$B$7 + (A64-1)*PARAMETER!$B$9 + ROUND(SIN(A64*0.89)*PARAMETER!$B$14, 3), IF(PARAMETER!$B$6="lonjakan", PARAMETER!$B$7 + IF(A64&gt;PARAMETER!$B$10, (A64-PARAMETER!$B$10)*PARAMETER!$B$11, 0) + ROUND(SIN(A64*0.89)*PARAMETER!$B$14, 3), IF(PARAMETER!$B$6="spike", PARAMETER!$B$7 + IF(A64=PARAMETER!$B$12, PARAMETER!$B$13, 0) + ROUND(SIN(A64*0.89)*PARAMETER!$B$14, 3), IF(PARAMETER!$B$6="naik_karena_beban", PARAMETER!$B$7 + (C64-PARAMETER!$B$8)*0.25 + ROUND(SIN(A64*0.89)*PARAMETER!$B$14, 3), PARAMETER!$B$7))))))</f>
        <v>58.36</v>
      </c>
      <c r="E64" s="9">
        <f>PARAMETER!$B$6 &amp; " (Jam " &amp; A64 &amp; ")"</f>
        <v/>
      </c>
    </row>
    <row r="65">
      <c r="A65" s="10" t="n">
        <v>62</v>
      </c>
      <c r="B65" s="10" t="inlineStr">
        <is>
          <t>2026-10-03 13:00:00</t>
        </is>
      </c>
      <c r="C65" s="11">
        <f>IF(PARAMETER!$B$6="naik_karena_beban", PARAMETER!$B$8 + IF(A65&gt;36, PARAMETER!$B$15, 0), PARAMETER!$B$8) + ROUND(SIN(A65*0.5)*0.5, 2)</f>
        <v>54.8</v>
      </c>
      <c r="D65" s="11">
        <f>IF(PARAMETER!$B$6="flatline", PARAMETER!$B$7, IF(PARAMETER!$B$6="datar", PARAMETER!$B$7 + ROUND(SIN(A65*0.89)*PARAMETER!$B$14 + COS(A65*0.53)*(PARAMETER!$B$14*0.5), 3), IF(PARAMETER!$B$6="ramp", PARAMETER!$B$7 + (A65-1)*PARAMETER!$B$9 + ROUND(SIN(A65*0.89)*PARAMETER!$B$14, 3), IF(PARAMETER!$B$6="lonjakan", PARAMETER!$B$7 + IF(A65&gt;PARAMETER!$B$10, (A65-PARAMETER!$B$10)*PARAMETER!$B$11, 0) + ROUND(SIN(A65*0.89)*PARAMETER!$B$14, 3), IF(PARAMETER!$B$6="spike", PARAMETER!$B$7 + IF(A65=PARAMETER!$B$12, PARAMETER!$B$13, 0) + ROUND(SIN(A65*0.89)*PARAMETER!$B$14, 3), IF(PARAMETER!$B$6="naik_karena_beban", PARAMETER!$B$7 + (C65-PARAMETER!$B$8)*0.25 + ROUND(SIN(A65*0.89)*PARAMETER!$B$14, 3), PARAMETER!$B$7))))))</f>
        <v>58.725</v>
      </c>
      <c r="E65" s="9">
        <f>PARAMETER!$B$6 &amp; " (Jam " &amp; A65 &amp; ")"</f>
        <v/>
      </c>
    </row>
    <row r="66">
      <c r="A66" s="10" t="n">
        <v>63</v>
      </c>
      <c r="B66" s="10" t="inlineStr">
        <is>
          <t>2026-10-03 14:00:00</t>
        </is>
      </c>
      <c r="C66" s="11">
        <f>IF(PARAMETER!$B$6="naik_karena_beban", PARAMETER!$B$8 + IF(A66&gt;36, PARAMETER!$B$15, 0), PARAMETER!$B$8) + ROUND(SIN(A66*0.5)*0.5, 2)</f>
        <v>55.04</v>
      </c>
      <c r="D66" s="11">
        <f>IF(PARAMETER!$B$6="flatline", PARAMETER!$B$7, IF(PARAMETER!$B$6="datar", PARAMETER!$B$7 + ROUND(SIN(A66*0.89)*PARAMETER!$B$14 + COS(A66*0.53)*(PARAMETER!$B$14*0.5), 3), IF(PARAMETER!$B$6="ramp", PARAMETER!$B$7 + (A66-1)*PARAMETER!$B$9 + ROUND(SIN(A66*0.89)*PARAMETER!$B$14, 3), IF(PARAMETER!$B$6="lonjakan", PARAMETER!$B$7 + IF(A66&gt;PARAMETER!$B$10, (A66-PARAMETER!$B$10)*PARAMETER!$B$11, 0) + ROUND(SIN(A66*0.89)*PARAMETER!$B$14, 3), IF(PARAMETER!$B$6="spike", PARAMETER!$B$7 + IF(A66=PARAMETER!$B$12, PARAMETER!$B$13, 0) + ROUND(SIN(A66*0.89)*PARAMETER!$B$14, 3), IF(PARAMETER!$B$6="naik_karena_beban", PARAMETER!$B$7 + (C66-PARAMETER!$B$8)*0.25 + ROUND(SIN(A66*0.89)*PARAMETER!$B$14, 3), PARAMETER!$B$7))))))</f>
        <v>59.303</v>
      </c>
      <c r="E66" s="9">
        <f>PARAMETER!$B$6 &amp; " (Jam " &amp; A66 &amp; ")"</f>
        <v/>
      </c>
    </row>
    <row r="67">
      <c r="A67" s="10" t="n">
        <v>64</v>
      </c>
      <c r="B67" s="10" t="inlineStr">
        <is>
          <t>2026-10-03 15:00:00</t>
        </is>
      </c>
      <c r="C67" s="11">
        <f>IF(PARAMETER!$B$6="naik_karena_beban", PARAMETER!$B$8 + IF(A67&gt;36, PARAMETER!$B$15, 0), PARAMETER!$B$8) + ROUND(SIN(A67*0.5)*0.5, 2)</f>
        <v>55.28</v>
      </c>
      <c r="D67" s="11">
        <f>IF(PARAMETER!$B$6="flatline", PARAMETER!$B$7, IF(PARAMETER!$B$6="datar", PARAMETER!$B$7 + ROUND(SIN(A67*0.89)*PARAMETER!$B$14 + COS(A67*0.53)*(PARAMETER!$B$14*0.5), 3), IF(PARAMETER!$B$6="ramp", PARAMETER!$B$7 + (A67-1)*PARAMETER!$B$9 + ROUND(SIN(A67*0.89)*PARAMETER!$B$14, 3), IF(PARAMETER!$B$6="lonjakan", PARAMETER!$B$7 + IF(A67&gt;PARAMETER!$B$10, (A67-PARAMETER!$B$10)*PARAMETER!$B$11, 0) + ROUND(SIN(A67*0.89)*PARAMETER!$B$14, 3), IF(PARAMETER!$B$6="spike", PARAMETER!$B$7 + IF(A67=PARAMETER!$B$12, PARAMETER!$B$13, 0) + ROUND(SIN(A67*0.89)*PARAMETER!$B$14, 3), IF(PARAMETER!$B$6="naik_karena_beban", PARAMETER!$B$7 + (C67-PARAMETER!$B$8)*0.25 + ROUND(SIN(A67*0.89)*PARAMETER!$B$14, 3), PARAMETER!$B$7))))))</f>
        <v>59.999</v>
      </c>
      <c r="E67" s="9">
        <f>PARAMETER!$B$6 &amp; " (Jam " &amp; A67 &amp; ")"</f>
        <v/>
      </c>
    </row>
    <row r="68">
      <c r="A68" s="10" t="n">
        <v>65</v>
      </c>
      <c r="B68" s="10" t="inlineStr">
        <is>
          <t>2026-10-03 16:00:00</t>
        </is>
      </c>
      <c r="C68" s="11">
        <f>IF(PARAMETER!$B$6="naik_karena_beban", PARAMETER!$B$8 + IF(A68&gt;36, PARAMETER!$B$15, 0), PARAMETER!$B$8) + ROUND(SIN(A68*0.5)*0.5, 2)</f>
        <v>55.44</v>
      </c>
      <c r="D68" s="11">
        <f>IF(PARAMETER!$B$6="flatline", PARAMETER!$B$7, IF(PARAMETER!$B$6="datar", PARAMETER!$B$7 + ROUND(SIN(A68*0.89)*PARAMETER!$B$14 + COS(A68*0.53)*(PARAMETER!$B$14*0.5), 3), IF(PARAMETER!$B$6="ramp", PARAMETER!$B$7 + (A68-1)*PARAMETER!$B$9 + ROUND(SIN(A68*0.89)*PARAMETER!$B$14, 3), IF(PARAMETER!$B$6="lonjakan", PARAMETER!$B$7 + IF(A68&gt;PARAMETER!$B$10, (A68-PARAMETER!$B$10)*PARAMETER!$B$11, 0) + ROUND(SIN(A68*0.89)*PARAMETER!$B$14, 3), IF(PARAMETER!$B$6="spike", PARAMETER!$B$7 + IF(A68=PARAMETER!$B$12, PARAMETER!$B$13, 0) + ROUND(SIN(A68*0.89)*PARAMETER!$B$14, 3), IF(PARAMETER!$B$6="naik_karena_beban", PARAMETER!$B$7 + (C68-PARAMETER!$B$8)*0.25 + ROUND(SIN(A68*0.89)*PARAMETER!$B$14, 3), PARAMETER!$B$7))))))</f>
        <v>60.64</v>
      </c>
      <c r="E68" s="9">
        <f>PARAMETER!$B$6 &amp; " (Jam " &amp; A68 &amp; ")"</f>
        <v/>
      </c>
    </row>
    <row r="69">
      <c r="A69" s="10" t="n">
        <v>66</v>
      </c>
      <c r="B69" s="10" t="inlineStr">
        <is>
          <t>2026-10-03 17:00:00</t>
        </is>
      </c>
      <c r="C69" s="11">
        <f>IF(PARAMETER!$B$6="naik_karena_beban", PARAMETER!$B$8 + IF(A69&gt;36, PARAMETER!$B$15, 0), PARAMETER!$B$8) + ROUND(SIN(A69*0.5)*0.5, 2)</f>
        <v>55.5</v>
      </c>
      <c r="D69" s="11">
        <f>IF(PARAMETER!$B$6="flatline", PARAMETER!$B$7, IF(PARAMETER!$B$6="datar", PARAMETER!$B$7 + ROUND(SIN(A69*0.89)*PARAMETER!$B$14 + COS(A69*0.53)*(PARAMETER!$B$14*0.5), 3), IF(PARAMETER!$B$6="ramp", PARAMETER!$B$7 + (A69-1)*PARAMETER!$B$9 + ROUND(SIN(A69*0.89)*PARAMETER!$B$14, 3), IF(PARAMETER!$B$6="lonjakan", PARAMETER!$B$7 + IF(A69&gt;PARAMETER!$B$10, (A69-PARAMETER!$B$10)*PARAMETER!$B$11, 0) + ROUND(SIN(A69*0.89)*PARAMETER!$B$14, 3), IF(PARAMETER!$B$6="spike", PARAMETER!$B$7 + IF(A69=PARAMETER!$B$12, PARAMETER!$B$13, 0) + ROUND(SIN(A69*0.89)*PARAMETER!$B$14, 3), IF(PARAMETER!$B$6="naik_karena_beban", PARAMETER!$B$7 + (C69-PARAMETER!$B$8)*0.25 + ROUND(SIN(A69*0.89)*PARAMETER!$B$14, 3), PARAMETER!$B$7))))))</f>
        <v>61.107</v>
      </c>
      <c r="E69" s="9">
        <f>PARAMETER!$B$6 &amp; " (Jam " &amp; A69 &amp; ")"</f>
        <v/>
      </c>
    </row>
    <row r="70">
      <c r="A70" s="10" t="n">
        <v>67</v>
      </c>
      <c r="B70" s="10" t="inlineStr">
        <is>
          <t>2026-10-03 18:00:00</t>
        </is>
      </c>
      <c r="C70" s="11">
        <f>IF(PARAMETER!$B$6="naik_karena_beban", PARAMETER!$B$8 + IF(A70&gt;36, PARAMETER!$B$15, 0), PARAMETER!$B$8) + ROUND(SIN(A70*0.5)*0.5, 2)</f>
        <v>55.44</v>
      </c>
      <c r="D70" s="11">
        <f>IF(PARAMETER!$B$6="flatline", PARAMETER!$B$7, IF(PARAMETER!$B$6="datar", PARAMETER!$B$7 + ROUND(SIN(A70*0.89)*PARAMETER!$B$14 + COS(A70*0.53)*(PARAMETER!$B$14*0.5), 3), IF(PARAMETER!$B$6="ramp", PARAMETER!$B$7 + (A70-1)*PARAMETER!$B$9 + ROUND(SIN(A70*0.89)*PARAMETER!$B$14, 3), IF(PARAMETER!$B$6="lonjakan", PARAMETER!$B$7 + IF(A70&gt;PARAMETER!$B$10, (A70-PARAMETER!$B$10)*PARAMETER!$B$11, 0) + ROUND(SIN(A70*0.89)*PARAMETER!$B$14, 3), IF(PARAMETER!$B$6="spike", PARAMETER!$B$7 + IF(A70=PARAMETER!$B$12, PARAMETER!$B$13, 0) + ROUND(SIN(A70*0.89)*PARAMETER!$B$14, 3), IF(PARAMETER!$B$6="naik_karena_beban", PARAMETER!$B$7 + (C70-PARAMETER!$B$8)*0.25 + ROUND(SIN(A70*0.89)*PARAMETER!$B$14, 3), PARAMETER!$B$7))))))</f>
        <v>61.431</v>
      </c>
      <c r="E70" s="9">
        <f>PARAMETER!$B$6 &amp; " (Jam " &amp; A70 &amp; ")"</f>
        <v/>
      </c>
    </row>
    <row r="71">
      <c r="A71" s="10" t="n">
        <v>68</v>
      </c>
      <c r="B71" s="10" t="inlineStr">
        <is>
          <t>2026-10-03 19:00:00</t>
        </is>
      </c>
      <c r="C71" s="11">
        <f>IF(PARAMETER!$B$6="naik_karena_beban", PARAMETER!$B$8 + IF(A71&gt;36, PARAMETER!$B$15, 0), PARAMETER!$B$8) + ROUND(SIN(A71*0.5)*0.5, 2)</f>
        <v>55.26</v>
      </c>
      <c r="D71" s="11">
        <f>IF(PARAMETER!$B$6="flatline", PARAMETER!$B$7, IF(PARAMETER!$B$6="datar", PARAMETER!$B$7 + ROUND(SIN(A71*0.89)*PARAMETER!$B$14 + COS(A71*0.53)*(PARAMETER!$B$14*0.5), 3), IF(PARAMETER!$B$6="ramp", PARAMETER!$B$7 + (A71-1)*PARAMETER!$B$9 + ROUND(SIN(A71*0.89)*PARAMETER!$B$14, 3), IF(PARAMETER!$B$6="lonjakan", PARAMETER!$B$7 + IF(A71&gt;PARAMETER!$B$10, (A71-PARAMETER!$B$10)*PARAMETER!$B$11, 0) + ROUND(SIN(A71*0.89)*PARAMETER!$B$14, 3), IF(PARAMETER!$B$6="spike", PARAMETER!$B$7 + IF(A71=PARAMETER!$B$12, PARAMETER!$B$13, 0) + ROUND(SIN(A71*0.89)*PARAMETER!$B$14, 3), IF(PARAMETER!$B$6="naik_karena_beban", PARAMETER!$B$7 + (C71-PARAMETER!$B$8)*0.25 + ROUND(SIN(A71*0.89)*PARAMETER!$B$14, 3), PARAMETER!$B$7))))))</f>
        <v>61.765</v>
      </c>
      <c r="E71" s="9">
        <f>PARAMETER!$B$6 &amp; " (Jam " &amp; A71 &amp; ")"</f>
        <v/>
      </c>
    </row>
    <row r="72">
      <c r="A72" s="10" t="n">
        <v>69</v>
      </c>
      <c r="B72" s="10" t="inlineStr">
        <is>
          <t>2026-10-03 20:00:00</t>
        </is>
      </c>
      <c r="C72" s="11">
        <f>IF(PARAMETER!$B$6="naik_karena_beban", PARAMETER!$B$8 + IF(A72&gt;36, PARAMETER!$B$15, 0), PARAMETER!$B$8) + ROUND(SIN(A72*0.5)*0.5, 2)</f>
        <v>55.03</v>
      </c>
      <c r="D72" s="11">
        <f>IF(PARAMETER!$B$6="flatline", PARAMETER!$B$7, IF(PARAMETER!$B$6="datar", PARAMETER!$B$7 + ROUND(SIN(A72*0.89)*PARAMETER!$B$14 + COS(A72*0.53)*(PARAMETER!$B$14*0.5), 3), IF(PARAMETER!$B$6="ramp", PARAMETER!$B$7 + (A72-1)*PARAMETER!$B$9 + ROUND(SIN(A72*0.89)*PARAMETER!$B$14, 3), IF(PARAMETER!$B$6="lonjakan", PARAMETER!$B$7 + IF(A72&gt;PARAMETER!$B$10, (A72-PARAMETER!$B$10)*PARAMETER!$B$11, 0) + ROUND(SIN(A72*0.89)*PARAMETER!$B$14, 3), IF(PARAMETER!$B$6="spike", PARAMETER!$B$7 + IF(A72=PARAMETER!$B$12, PARAMETER!$B$13, 0) + ROUND(SIN(A72*0.89)*PARAMETER!$B$14, 3), IF(PARAMETER!$B$6="naik_karena_beban", PARAMETER!$B$7 + (C72-PARAMETER!$B$8)*0.25 + ROUND(SIN(A72*0.89)*PARAMETER!$B$14, 3), PARAMETER!$B$7))))))</f>
        <v>62.267</v>
      </c>
      <c r="E72" s="9">
        <f>PARAMETER!$B$6 &amp; " (Jam " &amp; A72 &amp; ")"</f>
        <v/>
      </c>
    </row>
    <row r="73">
      <c r="A73" s="10" t="n">
        <v>70</v>
      </c>
      <c r="B73" s="10" t="inlineStr">
        <is>
          <t>2026-10-03 21:00:00</t>
        </is>
      </c>
      <c r="C73" s="11">
        <f>IF(PARAMETER!$B$6="naik_karena_beban", PARAMETER!$B$8 + IF(A73&gt;36, PARAMETER!$B$15, 0), PARAMETER!$B$8) + ROUND(SIN(A73*0.5)*0.5, 2)</f>
        <v>54.79</v>
      </c>
      <c r="D73" s="11">
        <f>IF(PARAMETER!$B$6="flatline", PARAMETER!$B$7, IF(PARAMETER!$B$6="datar", PARAMETER!$B$7 + ROUND(SIN(A73*0.89)*PARAMETER!$B$14 + COS(A73*0.53)*(PARAMETER!$B$14*0.5), 3), IF(PARAMETER!$B$6="ramp", PARAMETER!$B$7 + (A73-1)*PARAMETER!$B$9 + ROUND(SIN(A73*0.89)*PARAMETER!$B$14, 3), IF(PARAMETER!$B$6="lonjakan", PARAMETER!$B$7 + IF(A73&gt;PARAMETER!$B$10, (A73-PARAMETER!$B$10)*PARAMETER!$B$11, 0) + ROUND(SIN(A73*0.89)*PARAMETER!$B$14, 3), IF(PARAMETER!$B$6="spike", PARAMETER!$B$7 + IF(A73=PARAMETER!$B$12, PARAMETER!$B$13, 0) + ROUND(SIN(A73*0.89)*PARAMETER!$B$14, 3), IF(PARAMETER!$B$6="naik_karena_beban", PARAMETER!$B$7 + (C73-PARAMETER!$B$8)*0.25 + ROUND(SIN(A73*0.89)*PARAMETER!$B$14, 3), PARAMETER!$B$7))))))</f>
        <v>62.972</v>
      </c>
      <c r="E73" s="9">
        <f>PARAMETER!$B$6 &amp; " (Jam " &amp; A73 &amp; ")"</f>
        <v/>
      </c>
    </row>
    <row r="74">
      <c r="A74" s="10" t="n">
        <v>71</v>
      </c>
      <c r="B74" s="10" t="inlineStr">
        <is>
          <t>2026-10-03 22:00:00</t>
        </is>
      </c>
      <c r="C74" s="11">
        <f>IF(PARAMETER!$B$6="naik_karena_beban", PARAMETER!$B$8 + IF(A74&gt;36, PARAMETER!$B$15, 0), PARAMETER!$B$8) + ROUND(SIN(A74*0.5)*0.5, 2)</f>
        <v>54.6</v>
      </c>
      <c r="D74" s="11">
        <f>IF(PARAMETER!$B$6="flatline", PARAMETER!$B$7, IF(PARAMETER!$B$6="datar", PARAMETER!$B$7 + ROUND(SIN(A74*0.89)*PARAMETER!$B$14 + COS(A74*0.53)*(PARAMETER!$B$14*0.5), 3), IF(PARAMETER!$B$6="ramp", PARAMETER!$B$7 + (A74-1)*PARAMETER!$B$9 + ROUND(SIN(A74*0.89)*PARAMETER!$B$14, 3), IF(PARAMETER!$B$6="lonjakan", PARAMETER!$B$7 + IF(A74&gt;PARAMETER!$B$10, (A74-PARAMETER!$B$10)*PARAMETER!$B$11, 0) + ROUND(SIN(A74*0.89)*PARAMETER!$B$14, 3), IF(PARAMETER!$B$6="spike", PARAMETER!$B$7 + IF(A74=PARAMETER!$B$12, PARAMETER!$B$13, 0) + ROUND(SIN(A74*0.89)*PARAMETER!$B$14, 3), IF(PARAMETER!$B$6="naik_karena_beban", PARAMETER!$B$7 + (C74-PARAMETER!$B$8)*0.25 + ROUND(SIN(A74*0.89)*PARAMETER!$B$14, 3), PARAMETER!$B$7))))))</f>
        <v>63.755</v>
      </c>
      <c r="E74" s="9">
        <f>PARAMETER!$B$6 &amp; " (Jam " &amp; A74 &amp; ")"</f>
        <v/>
      </c>
    </row>
    <row r="75">
      <c r="A75" s="10" t="n">
        <v>72</v>
      </c>
      <c r="B75" s="10" t="inlineStr">
        <is>
          <t>2026-10-03 23:00:00</t>
        </is>
      </c>
      <c r="C75" s="11">
        <f>IF(PARAMETER!$B$6="naik_karena_beban", PARAMETER!$B$8 + IF(A75&gt;36, PARAMETER!$B$15, 0), PARAMETER!$B$8) + ROUND(SIN(A75*0.5)*0.5, 2)</f>
        <v>54.5</v>
      </c>
      <c r="D75" s="11">
        <f>IF(PARAMETER!$B$6="flatline", PARAMETER!$B$7, IF(PARAMETER!$B$6="datar", PARAMETER!$B$7 + ROUND(SIN(A75*0.89)*PARAMETER!$B$14 + COS(A75*0.53)*(PARAMETER!$B$14*0.5), 3), IF(PARAMETER!$B$6="ramp", PARAMETER!$B$7 + (A75-1)*PARAMETER!$B$9 + ROUND(SIN(A75*0.89)*PARAMETER!$B$14, 3), IF(PARAMETER!$B$6="lonjakan", PARAMETER!$B$7 + IF(A75&gt;PARAMETER!$B$10, (A75-PARAMETER!$B$10)*PARAMETER!$B$11, 0) + ROUND(SIN(A75*0.89)*PARAMETER!$B$14, 3), IF(PARAMETER!$B$6="spike", PARAMETER!$B$7 + IF(A75=PARAMETER!$B$12, PARAMETER!$B$13, 0) + ROUND(SIN(A75*0.89)*PARAMETER!$B$14, 3), IF(PARAMETER!$B$6="naik_karena_beban", PARAMETER!$B$7 + (C75-PARAMETER!$B$8)*0.25 + ROUND(SIN(A75*0.89)*PARAMETER!$B$14, 3), PARAMETER!$B$7))))))</f>
        <v>64.419</v>
      </c>
      <c r="E75" s="9">
        <f>PARAMETER!$B$6 &amp; " (Jam " &amp; A75 &amp; ")"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  <col width="25" customWidth="1" min="5" max="5"/>
  </cols>
  <sheetData>
    <row r="1">
      <c r="A1" s="1" t="inlineStr">
        <is>
          <t>LEMBAR INPUT DATA MANUAL TELEMETRI (OPSIONAL)</t>
        </is>
      </c>
    </row>
    <row r="2">
      <c r="A2" s="4" t="inlineStr">
        <is>
          <t>Digunakan jika Sumber Data di sheet PARAMETER diset ke 'INPUT_MANUAL'.</t>
        </is>
      </c>
    </row>
    <row r="4">
      <c r="A4" s="5" t="inlineStr">
        <is>
          <t>Jam Ke</t>
        </is>
      </c>
      <c r="B4" s="5" t="inlineStr">
        <is>
          <t>Waktu (Timestamp)</t>
        </is>
      </c>
      <c r="C4" s="5" t="inlineStr">
        <is>
          <t>Nilai Parameter</t>
        </is>
      </c>
      <c r="D4" s="5" t="inlineStr">
        <is>
          <t>Laju Beban</t>
        </is>
      </c>
      <c r="E4" s="5" t="inlineStr">
        <is>
          <t>Catatan</t>
        </is>
      </c>
    </row>
    <row r="5">
      <c r="A5" s="12" t="n">
        <v>1</v>
      </c>
      <c r="B5" s="12" t="inlineStr">
        <is>
          <t>2026-10-01 00:00:00</t>
        </is>
      </c>
      <c r="C5" s="12" t="n">
        <v>28.75</v>
      </c>
      <c r="D5" s="12" t="n">
        <v>55.27</v>
      </c>
      <c r="E5" s="12" t="inlineStr">
        <is>
          <t>Input normal</t>
        </is>
      </c>
    </row>
    <row r="6">
      <c r="A6" s="12" t="n">
        <v>2</v>
      </c>
      <c r="B6" s="12" t="inlineStr">
        <is>
          <t>2026-10-01 01:00:00</t>
        </is>
      </c>
      <c r="C6" s="12" t="n">
        <v>28.77</v>
      </c>
      <c r="D6" s="12" t="n">
        <v>54.79</v>
      </c>
      <c r="E6" s="12" t="inlineStr">
        <is>
          <t>Input normal</t>
        </is>
      </c>
    </row>
    <row r="7">
      <c r="A7" s="12" t="n">
        <v>3</v>
      </c>
      <c r="B7" s="12" t="inlineStr">
        <is>
          <t>2026-10-01 02:00:00</t>
        </is>
      </c>
      <c r="C7" s="12" t="n">
        <v>28.54</v>
      </c>
      <c r="D7" s="12" t="n">
        <v>54.51</v>
      </c>
      <c r="E7" s="12" t="inlineStr">
        <is>
          <t>Input normal</t>
        </is>
      </c>
    </row>
    <row r="8">
      <c r="A8" s="12" t="n">
        <v>4</v>
      </c>
      <c r="B8" s="12" t="inlineStr">
        <is>
          <t>2026-10-01 03:00:00</t>
        </is>
      </c>
      <c r="C8" s="12" t="n">
        <v>28.27</v>
      </c>
      <c r="D8" s="12" t="n">
        <v>54.67</v>
      </c>
      <c r="E8" s="12" t="inlineStr">
        <is>
          <t>Input normal</t>
        </is>
      </c>
    </row>
    <row r="9">
      <c r="A9" s="12" t="n">
        <v>5</v>
      </c>
      <c r="B9" s="12" t="inlineStr">
        <is>
          <t>2026-10-01 04:00:00</t>
        </is>
      </c>
      <c r="C9" s="12" t="n">
        <v>28.21</v>
      </c>
      <c r="D9" s="12" t="n">
        <v>55.14</v>
      </c>
      <c r="E9" s="12" t="inlineStr">
        <is>
          <t>Input normal</t>
        </is>
      </c>
    </row>
    <row r="10">
      <c r="A10" s="12" t="n">
        <v>6</v>
      </c>
      <c r="B10" s="12" t="inlineStr">
        <is>
          <t>2026-10-01 05:00:00</t>
        </is>
      </c>
      <c r="C10" s="12" t="n">
        <v>28.42</v>
      </c>
      <c r="D10" s="12" t="n">
        <v>55.48</v>
      </c>
      <c r="E10" s="12" t="inlineStr">
        <is>
          <t>Input normal</t>
        </is>
      </c>
    </row>
    <row r="11">
      <c r="A11" s="12" t="n">
        <v>7</v>
      </c>
      <c r="B11" s="12" t="inlineStr">
        <is>
          <t>2026-10-01 06:00:00</t>
        </is>
      </c>
      <c r="C11" s="12" t="n">
        <v>28.7</v>
      </c>
      <c r="D11" s="12" t="n">
        <v>55.38</v>
      </c>
      <c r="E11" s="12" t="inlineStr">
        <is>
          <t>Input normal</t>
        </is>
      </c>
    </row>
    <row r="12">
      <c r="A12" s="12" t="n">
        <v>8</v>
      </c>
      <c r="B12" s="12" t="inlineStr">
        <is>
          <t>2026-10-01 07:00:00</t>
        </is>
      </c>
      <c r="C12" s="12" t="n">
        <v>28.8</v>
      </c>
      <c r="D12" s="12" t="n">
        <v>54.93</v>
      </c>
      <c r="E12" s="12" t="inlineStr">
        <is>
          <t>Input normal</t>
        </is>
      </c>
    </row>
    <row r="13">
      <c r="A13" s="12" t="n">
        <v>9</v>
      </c>
      <c r="B13" s="12" t="inlineStr">
        <is>
          <t>2026-10-01 08:00:00</t>
        </is>
      </c>
      <c r="C13" s="12" t="n">
        <v>28.62</v>
      </c>
      <c r="D13" s="12" t="n">
        <v>54.54</v>
      </c>
      <c r="E13" s="12" t="inlineStr">
        <is>
          <t>Input normal</t>
        </is>
      </c>
    </row>
    <row r="14">
      <c r="A14" s="12" t="n">
        <v>10</v>
      </c>
      <c r="B14" s="12" t="inlineStr">
        <is>
          <t>2026-10-01 09:00:00</t>
        </is>
      </c>
      <c r="C14" s="12" t="n">
        <v>28.34</v>
      </c>
      <c r="D14" s="12" t="n">
        <v>54.58</v>
      </c>
      <c r="E14" s="12" t="inlineStr">
        <is>
          <t>Input normal</t>
        </is>
      </c>
    </row>
    <row r="15">
      <c r="A15" s="12" t="n">
        <v>11</v>
      </c>
      <c r="B15" s="12" t="inlineStr">
        <is>
          <t>2026-10-01 10:00:00</t>
        </is>
      </c>
      <c r="C15" s="12" t="n">
        <v>28.2</v>
      </c>
      <c r="D15" s="12" t="n">
        <v>55</v>
      </c>
      <c r="E15" s="12" t="inlineStr">
        <is>
          <t>Input normal</t>
        </is>
      </c>
    </row>
    <row r="16">
      <c r="A16" s="12" t="n">
        <v>12</v>
      </c>
      <c r="B16" s="12" t="inlineStr">
        <is>
          <t>2026-10-01 11:00:00</t>
        </is>
      </c>
      <c r="C16" s="12" t="n">
        <v>28.34</v>
      </c>
      <c r="D16" s="12" t="n">
        <v>55.42</v>
      </c>
      <c r="E16" s="12" t="inlineStr">
        <is>
          <t>Input normal</t>
        </is>
      </c>
    </row>
    <row r="17">
      <c r="A17" s="12" t="n">
        <v>13</v>
      </c>
      <c r="B17" s="12" t="inlineStr">
        <is>
          <t>2026-10-01 12:00:00</t>
        </is>
      </c>
      <c r="C17" s="12" t="n">
        <v>28.63</v>
      </c>
      <c r="D17" s="12" t="n">
        <v>55.45</v>
      </c>
      <c r="E17" s="12" t="inlineStr">
        <is>
          <t>Input normal</t>
        </is>
      </c>
    </row>
    <row r="18">
      <c r="A18" s="12" t="n">
        <v>14</v>
      </c>
      <c r="B18" s="12" t="inlineStr">
        <is>
          <t>2026-10-01 13:00:00</t>
        </is>
      </c>
      <c r="C18" s="12" t="n">
        <v>28.8</v>
      </c>
      <c r="D18" s="12" t="n">
        <v>55.07</v>
      </c>
      <c r="E18" s="12" t="inlineStr">
        <is>
          <t>Input normal</t>
        </is>
      </c>
    </row>
    <row r="19">
      <c r="A19" s="12" t="n">
        <v>15</v>
      </c>
      <c r="B19" s="12" t="inlineStr">
        <is>
          <t>2026-10-01 14:00:00</t>
        </is>
      </c>
      <c r="C19" s="12" t="n">
        <v>28.7</v>
      </c>
      <c r="D19" s="12" t="n">
        <v>54.62</v>
      </c>
      <c r="E19" s="12" t="inlineStr">
        <is>
          <t>Input normal</t>
        </is>
      </c>
    </row>
    <row r="20">
      <c r="A20" s="12" t="n">
        <v>16</v>
      </c>
      <c r="B20" s="12" t="inlineStr">
        <is>
          <t>2026-10-01 15:00:00</t>
        </is>
      </c>
      <c r="C20" s="12" t="n">
        <v>28.41</v>
      </c>
      <c r="D20" s="12" t="n">
        <v>54.52</v>
      </c>
      <c r="E20" s="12" t="inlineStr">
        <is>
          <t>Input normal</t>
        </is>
      </c>
    </row>
    <row r="21">
      <c r="A21" s="12" t="n">
        <v>17</v>
      </c>
      <c r="B21" s="12" t="inlineStr">
        <is>
          <t>2026-10-01 16:00:00</t>
        </is>
      </c>
      <c r="C21" s="12" t="n">
        <v>28.21</v>
      </c>
      <c r="D21" s="12" t="n">
        <v>54.86</v>
      </c>
      <c r="E21" s="12" t="inlineStr">
        <is>
          <t>Input normal</t>
        </is>
      </c>
    </row>
    <row r="22">
      <c r="A22" s="12" t="n">
        <v>18</v>
      </c>
      <c r="B22" s="12" t="inlineStr">
        <is>
          <t>2026-10-01 17:00:00</t>
        </is>
      </c>
      <c r="C22" s="12" t="n">
        <v>28.27</v>
      </c>
      <c r="D22" s="12" t="n">
        <v>55.33</v>
      </c>
      <c r="E22" s="12" t="inlineStr">
        <is>
          <t>Input normal</t>
        </is>
      </c>
    </row>
    <row r="23">
      <c r="A23" s="12" t="n">
        <v>19</v>
      </c>
      <c r="B23" s="12" t="inlineStr">
        <is>
          <t>2026-10-01 18:00:00</t>
        </is>
      </c>
      <c r="C23" s="12" t="n">
        <v>28.54</v>
      </c>
      <c r="D23" s="12" t="n">
        <v>55.49</v>
      </c>
      <c r="E23" s="12" t="inlineStr">
        <is>
          <t>Input normal</t>
        </is>
      </c>
    </row>
    <row r="24">
      <c r="A24" s="12" t="n">
        <v>20</v>
      </c>
      <c r="B24" s="12" t="inlineStr">
        <is>
          <t>2026-10-01 19:00:00</t>
        </is>
      </c>
      <c r="C24" s="12" t="n">
        <v>28.77</v>
      </c>
      <c r="D24" s="12" t="n">
        <v>55.2</v>
      </c>
      <c r="E24" s="12" t="inlineStr">
        <is>
          <t>Input normal</t>
        </is>
      </c>
    </row>
    <row r="25">
      <c r="A25" s="12" t="n">
        <v>21</v>
      </c>
      <c r="B25" s="12" t="inlineStr">
        <is>
          <t>2026-10-01 20:00:00</t>
        </is>
      </c>
      <c r="C25" s="12" t="n">
        <v>28.75</v>
      </c>
      <c r="D25" s="12" t="n">
        <v>54.73</v>
      </c>
      <c r="E25" s="12" t="inlineStr">
        <is>
          <t>Input normal</t>
        </is>
      </c>
    </row>
    <row r="26">
      <c r="A26" s="12" t="n">
        <v>22</v>
      </c>
      <c r="B26" s="12" t="inlineStr">
        <is>
          <t>2026-10-01 21:00:00</t>
        </is>
      </c>
      <c r="C26" s="12" t="n">
        <v>28.5</v>
      </c>
      <c r="D26" s="12" t="n">
        <v>54.5</v>
      </c>
      <c r="E26" s="12" t="inlineStr">
        <is>
          <t>Input normal</t>
        </is>
      </c>
    </row>
    <row r="27">
      <c r="A27" s="12" t="n">
        <v>23</v>
      </c>
      <c r="B27" s="12" t="inlineStr">
        <is>
          <t>2026-10-01 22:00:00</t>
        </is>
      </c>
      <c r="C27" s="12" t="n">
        <v>28.25</v>
      </c>
      <c r="D27" s="12" t="n">
        <v>54.73</v>
      </c>
      <c r="E27" s="12" t="inlineStr">
        <is>
          <t>Input normal</t>
        </is>
      </c>
    </row>
    <row r="28">
      <c r="A28" s="12" t="n">
        <v>24</v>
      </c>
      <c r="B28" s="12" t="inlineStr">
        <is>
          <t>2026-10-01 23:00:00</t>
        </is>
      </c>
      <c r="C28" s="12" t="n">
        <v>28.23</v>
      </c>
      <c r="D28" s="12" t="n">
        <v>55.21</v>
      </c>
      <c r="E28" s="12" t="inlineStr">
        <is>
          <t>Input normal</t>
        </is>
      </c>
    </row>
    <row r="29">
      <c r="A29" s="12" t="n">
        <v>25</v>
      </c>
      <c r="B29" s="12" t="inlineStr">
        <is>
          <t>2026-10-02 00:00:00</t>
        </is>
      </c>
      <c r="C29" s="12" t="n">
        <v>28.46</v>
      </c>
      <c r="D29" s="12" t="n">
        <v>55.5</v>
      </c>
      <c r="E29" s="12" t="inlineStr">
        <is>
          <t>Input normal</t>
        </is>
      </c>
    </row>
    <row r="30">
      <c r="A30" s="12" t="n">
        <v>26</v>
      </c>
      <c r="B30" s="12" t="inlineStr">
        <is>
          <t>2026-10-02 01:00:00</t>
        </is>
      </c>
      <c r="C30" s="12" t="n">
        <v>28.73</v>
      </c>
      <c r="D30" s="12" t="n">
        <v>55.32</v>
      </c>
      <c r="E30" s="12" t="inlineStr">
        <is>
          <t>Input normal</t>
        </is>
      </c>
    </row>
    <row r="31">
      <c r="A31" s="12" t="n">
        <v>27</v>
      </c>
      <c r="B31" s="12" t="inlineStr">
        <is>
          <t>2026-10-02 02:00:00</t>
        </is>
      </c>
      <c r="C31" s="12" t="n">
        <v>28.79</v>
      </c>
      <c r="D31" s="12" t="n">
        <v>54.85</v>
      </c>
      <c r="E31" s="12" t="inlineStr">
        <is>
          <t>Input normal</t>
        </is>
      </c>
    </row>
    <row r="32">
      <c r="A32" s="12" t="n">
        <v>28</v>
      </c>
      <c r="B32" s="12" t="inlineStr">
        <is>
          <t>2026-10-02 03:00:00</t>
        </is>
      </c>
      <c r="C32" s="12" t="n">
        <v>28.58</v>
      </c>
      <c r="D32" s="12" t="n">
        <v>54.52</v>
      </c>
      <c r="E32" s="12" t="inlineStr">
        <is>
          <t>Input normal</t>
        </is>
      </c>
    </row>
    <row r="33">
      <c r="A33" s="12" t="n">
        <v>29</v>
      </c>
      <c r="B33" s="12" t="inlineStr">
        <is>
          <t>2026-10-02 04:00:00</t>
        </is>
      </c>
      <c r="C33" s="12" t="n">
        <v>28.3</v>
      </c>
      <c r="D33" s="12" t="n">
        <v>54.63</v>
      </c>
      <c r="E33" s="12" t="inlineStr">
        <is>
          <t>Input normal</t>
        </is>
      </c>
    </row>
    <row r="34">
      <c r="A34" s="12" t="n">
        <v>30</v>
      </c>
      <c r="B34" s="12" t="inlineStr">
        <is>
          <t>2026-10-02 05:00:00</t>
        </is>
      </c>
      <c r="C34" s="12" t="n">
        <v>28.2</v>
      </c>
      <c r="D34" s="12" t="n">
        <v>55.08</v>
      </c>
      <c r="E34" s="12" t="inlineStr">
        <is>
          <t>Input normal</t>
        </is>
      </c>
    </row>
    <row r="35">
      <c r="A35" s="12" t="n">
        <v>31</v>
      </c>
      <c r="B35" s="12" t="inlineStr">
        <is>
          <t>2026-10-02 06:00:00</t>
        </is>
      </c>
      <c r="C35" s="12" t="n">
        <v>28.38</v>
      </c>
      <c r="D35" s="12" t="n">
        <v>55.46</v>
      </c>
      <c r="E35" s="12" t="inlineStr">
        <is>
          <t>Input normal</t>
        </is>
      </c>
    </row>
    <row r="36">
      <c r="A36" s="12" t="n">
        <v>32</v>
      </c>
      <c r="B36" s="12" t="inlineStr">
        <is>
          <t>2026-10-02 07:00:00</t>
        </is>
      </c>
      <c r="C36" s="12" t="n">
        <v>28.67</v>
      </c>
      <c r="D36" s="12" t="n">
        <v>55.42</v>
      </c>
      <c r="E36" s="12" t="inlineStr">
        <is>
          <t>Input normal</t>
        </is>
      </c>
    </row>
    <row r="37">
      <c r="A37" s="12" t="n">
        <v>33</v>
      </c>
      <c r="B37" s="12" t="inlineStr">
        <is>
          <t>2026-10-02 08:00:00</t>
        </is>
      </c>
      <c r="C37" s="12" t="n">
        <v>28.8</v>
      </c>
      <c r="D37" s="12" t="n">
        <v>54.99</v>
      </c>
      <c r="E37" s="12" t="inlineStr">
        <is>
          <t>Input normal</t>
        </is>
      </c>
    </row>
    <row r="38">
      <c r="A38" s="12" t="n">
        <v>34</v>
      </c>
      <c r="B38" s="12" t="inlineStr">
        <is>
          <t>2026-10-02 09:00:00</t>
        </is>
      </c>
      <c r="C38" s="12" t="n">
        <v>28.66</v>
      </c>
      <c r="D38" s="12" t="n">
        <v>54.58</v>
      </c>
      <c r="E38" s="12" t="inlineStr">
        <is>
          <t>Input normal</t>
        </is>
      </c>
    </row>
    <row r="39">
      <c r="A39" s="12" t="n">
        <v>35</v>
      </c>
      <c r="B39" s="12" t="inlineStr">
        <is>
          <t>2026-10-02 10:00:00</t>
        </is>
      </c>
      <c r="C39" s="12" t="n">
        <v>28.37</v>
      </c>
      <c r="D39" s="12" t="n">
        <v>54.55</v>
      </c>
      <c r="E39" s="12" t="inlineStr">
        <is>
          <t>Input normal</t>
        </is>
      </c>
    </row>
    <row r="40">
      <c r="A40" s="12" t="n">
        <v>36</v>
      </c>
      <c r="B40" s="12" t="inlineStr">
        <is>
          <t>2026-10-02 11:00:00</t>
        </is>
      </c>
      <c r="C40" s="12" t="n">
        <v>28.2</v>
      </c>
      <c r="D40" s="12" t="n">
        <v>54.94</v>
      </c>
      <c r="E40" s="12" t="inlineStr">
        <is>
          <t>Input normal</t>
        </is>
      </c>
    </row>
    <row r="41">
      <c r="A41" s="12" t="n">
        <v>37</v>
      </c>
      <c r="B41" s="12" t="inlineStr">
        <is>
          <t>2026-10-02 12:00:00</t>
        </is>
      </c>
      <c r="C41" s="12" t="n">
        <v>28.31</v>
      </c>
      <c r="D41" s="12" t="n">
        <v>55.38</v>
      </c>
      <c r="E41" s="12" t="inlineStr">
        <is>
          <t>Input normal</t>
        </is>
      </c>
    </row>
    <row r="42">
      <c r="A42" s="12" t="n">
        <v>38</v>
      </c>
      <c r="B42" s="12" t="inlineStr">
        <is>
          <t>2026-10-02 13:00:00</t>
        </is>
      </c>
      <c r="C42" s="12" t="n">
        <v>28.59</v>
      </c>
      <c r="D42" s="12" t="n">
        <v>55.48</v>
      </c>
      <c r="E42" s="12" t="inlineStr">
        <is>
          <t>Input normal</t>
        </is>
      </c>
    </row>
    <row r="43">
      <c r="A43" s="12" t="n">
        <v>39</v>
      </c>
      <c r="B43" s="12" t="inlineStr">
        <is>
          <t>2026-10-02 14:00:00</t>
        </is>
      </c>
      <c r="C43" s="12" t="n">
        <v>28.79</v>
      </c>
      <c r="D43" s="12" t="n">
        <v>55.13</v>
      </c>
      <c r="E43" s="12" t="inlineStr">
        <is>
          <t>Input normal</t>
        </is>
      </c>
    </row>
    <row r="44">
      <c r="A44" s="12" t="n">
        <v>40</v>
      </c>
      <c r="B44" s="12" t="inlineStr">
        <is>
          <t>2026-10-02 15:00:00</t>
        </is>
      </c>
      <c r="C44" s="12" t="n">
        <v>28.72</v>
      </c>
      <c r="D44" s="12" t="n">
        <v>54.67</v>
      </c>
      <c r="E44" s="12" t="inlineStr">
        <is>
          <t>Input normal</t>
        </is>
      </c>
    </row>
    <row r="45">
      <c r="A45" s="12" t="n">
        <v>41</v>
      </c>
      <c r="B45" s="12" t="inlineStr">
        <is>
          <t>2026-10-02 16:00:00</t>
        </is>
      </c>
      <c r="C45" s="12" t="n">
        <v>28.45</v>
      </c>
      <c r="D45" s="12" t="n">
        <v>54.51</v>
      </c>
      <c r="E45" s="12" t="inlineStr">
        <is>
          <t>Input normal</t>
        </is>
      </c>
    </row>
    <row r="46">
      <c r="A46" s="12" t="n">
        <v>42</v>
      </c>
      <c r="B46" s="12" t="inlineStr">
        <is>
          <t>2026-10-02 17:00:00</t>
        </is>
      </c>
      <c r="C46" s="12" t="n">
        <v>28.23</v>
      </c>
      <c r="D46" s="12" t="n">
        <v>54.8</v>
      </c>
      <c r="E46" s="12" t="inlineStr">
        <is>
          <t>Input normal</t>
        </is>
      </c>
    </row>
    <row r="47">
      <c r="A47" s="12" t="n">
        <v>43</v>
      </c>
      <c r="B47" s="12" t="inlineStr">
        <is>
          <t>2026-10-02 18:00:00</t>
        </is>
      </c>
      <c r="C47" s="12" t="n">
        <v>28.25</v>
      </c>
      <c r="D47" s="12" t="n">
        <v>55.28</v>
      </c>
      <c r="E47" s="12" t="inlineStr">
        <is>
          <t>Input normal</t>
        </is>
      </c>
    </row>
    <row r="48">
      <c r="A48" s="12" t="n">
        <v>44</v>
      </c>
      <c r="B48" s="12" t="inlineStr">
        <is>
          <t>2026-10-02 19:00:00</t>
        </is>
      </c>
      <c r="C48" s="12" t="n">
        <v>28.51</v>
      </c>
      <c r="D48" s="12" t="n">
        <v>55.5</v>
      </c>
      <c r="E48" s="12" t="inlineStr">
        <is>
          <t>Input normal</t>
        </is>
      </c>
    </row>
    <row r="49">
      <c r="A49" s="12" t="n">
        <v>45</v>
      </c>
      <c r="B49" s="12" t="inlineStr">
        <is>
          <t>2026-10-02 20:00:00</t>
        </is>
      </c>
      <c r="C49" s="12" t="n">
        <v>28.76</v>
      </c>
      <c r="D49" s="12" t="n">
        <v>55.26</v>
      </c>
      <c r="E49" s="12" t="inlineStr">
        <is>
          <t>Input normal</t>
        </is>
      </c>
    </row>
    <row r="50">
      <c r="A50" s="12" t="n">
        <v>46</v>
      </c>
      <c r="B50" s="12" t="inlineStr">
        <is>
          <t>2026-10-02 21:00:00</t>
        </is>
      </c>
      <c r="C50" s="12" t="n">
        <v>28.77</v>
      </c>
      <c r="D50" s="12" t="n">
        <v>54.78</v>
      </c>
      <c r="E50" s="12" t="inlineStr">
        <is>
          <t>Input normal</t>
        </is>
      </c>
    </row>
    <row r="51">
      <c r="A51" s="12" t="n">
        <v>47</v>
      </c>
      <c r="B51" s="12" t="inlineStr">
        <is>
          <t>2026-10-02 22:00:00</t>
        </is>
      </c>
      <c r="C51" s="12" t="n">
        <v>28.54</v>
      </c>
      <c r="D51" s="12" t="n">
        <v>54.5</v>
      </c>
      <c r="E51" s="12" t="inlineStr">
        <is>
          <t>Input normal</t>
        </is>
      </c>
    </row>
    <row r="52">
      <c r="A52" s="12" t="n">
        <v>48</v>
      </c>
      <c r="B52" s="12" t="inlineStr">
        <is>
          <t>2026-10-02 23:00:00</t>
        </is>
      </c>
      <c r="C52" s="12" t="n">
        <v>28.27</v>
      </c>
      <c r="D52" s="12" t="n">
        <v>54.68</v>
      </c>
      <c r="E52" s="12" t="inlineStr">
        <is>
          <t>Input normal</t>
        </is>
      </c>
    </row>
    <row r="53">
      <c r="A53" s="12" t="n">
        <v>49</v>
      </c>
      <c r="B53" s="12" t="inlineStr">
        <is>
          <t>2026-10-03 00:00:00</t>
        </is>
      </c>
      <c r="C53" s="12" t="n">
        <v>28.21</v>
      </c>
      <c r="D53" s="12" t="n">
        <v>55.15</v>
      </c>
      <c r="E53" s="12" t="inlineStr">
        <is>
          <t>Input normal</t>
        </is>
      </c>
    </row>
    <row r="54">
      <c r="A54" s="12" t="n">
        <v>50</v>
      </c>
      <c r="B54" s="12" t="inlineStr">
        <is>
          <t>2026-10-03 01:00:00</t>
        </is>
      </c>
      <c r="C54" s="12" t="n">
        <v>28.42</v>
      </c>
      <c r="D54" s="12" t="n">
        <v>55.48</v>
      </c>
      <c r="E54" s="12" t="inlineStr">
        <is>
          <t>Input normal</t>
        </is>
      </c>
    </row>
    <row r="55">
      <c r="A55" s="12" t="n">
        <v>51</v>
      </c>
      <c r="B55" s="12" t="inlineStr">
        <is>
          <t>2026-10-03 02:00:00</t>
        </is>
      </c>
      <c r="C55" s="12" t="n">
        <v>28.7</v>
      </c>
      <c r="D55" s="12" t="n">
        <v>55.37</v>
      </c>
      <c r="E55" s="12" t="inlineStr">
        <is>
          <t>Input normal</t>
        </is>
      </c>
    </row>
    <row r="56">
      <c r="A56" s="12" t="n">
        <v>52</v>
      </c>
      <c r="B56" s="12" t="inlineStr">
        <is>
          <t>2026-10-03 03:00:00</t>
        </is>
      </c>
      <c r="C56" s="12" t="n">
        <v>28.8</v>
      </c>
      <c r="D56" s="12" t="n">
        <v>54.92</v>
      </c>
      <c r="E56" s="12" t="inlineStr">
        <is>
          <t>Input normal</t>
        </is>
      </c>
    </row>
    <row r="57">
      <c r="A57" s="12" t="n">
        <v>53</v>
      </c>
      <c r="B57" s="12" t="inlineStr">
        <is>
          <t>2026-10-03 04:00:00</t>
        </is>
      </c>
      <c r="C57" s="12" t="n">
        <v>28.62</v>
      </c>
      <c r="D57" s="12" t="n">
        <v>54.54</v>
      </c>
      <c r="E57" s="12" t="inlineStr">
        <is>
          <t>Input normal</t>
        </is>
      </c>
    </row>
    <row r="58">
      <c r="A58" s="12" t="n">
        <v>54</v>
      </c>
      <c r="B58" s="12" t="inlineStr">
        <is>
          <t>2026-10-03 05:00:00</t>
        </is>
      </c>
      <c r="C58" s="12" t="n">
        <v>28.33</v>
      </c>
      <c r="D58" s="12" t="n">
        <v>54.59</v>
      </c>
      <c r="E58" s="12" t="inlineStr">
        <is>
          <t>Input normal</t>
        </is>
      </c>
    </row>
    <row r="59">
      <c r="A59" s="12" t="n">
        <v>55</v>
      </c>
      <c r="B59" s="12" t="inlineStr">
        <is>
          <t>2026-10-03 06:00:00</t>
        </is>
      </c>
      <c r="C59" s="12" t="n">
        <v>28.2</v>
      </c>
      <c r="D59" s="12" t="n">
        <v>55.01</v>
      </c>
      <c r="E59" s="12" t="inlineStr">
        <is>
          <t>Input normal</t>
        </is>
      </c>
    </row>
    <row r="60">
      <c r="A60" s="12" t="n">
        <v>56</v>
      </c>
      <c r="B60" s="12" t="inlineStr">
        <is>
          <t>2026-10-03 07:00:00</t>
        </is>
      </c>
      <c r="C60" s="12" t="n">
        <v>28.34</v>
      </c>
      <c r="D60" s="12" t="n">
        <v>55.43</v>
      </c>
      <c r="E60" s="12" t="inlineStr">
        <is>
          <t>Input normal</t>
        </is>
      </c>
    </row>
    <row r="61">
      <c r="A61" s="12" t="n">
        <v>57</v>
      </c>
      <c r="B61" s="12" t="inlineStr">
        <is>
          <t>2026-10-03 08:00:00</t>
        </is>
      </c>
      <c r="C61" s="12" t="n">
        <v>28.63</v>
      </c>
      <c r="D61" s="12" t="n">
        <v>55.45</v>
      </c>
      <c r="E61" s="12" t="inlineStr">
        <is>
          <t>Input normal</t>
        </is>
      </c>
    </row>
    <row r="62">
      <c r="A62" s="12" t="n">
        <v>58</v>
      </c>
      <c r="B62" s="12" t="inlineStr">
        <is>
          <t>2026-10-03 09:00:00</t>
        </is>
      </c>
      <c r="C62" s="12" t="n">
        <v>28.8</v>
      </c>
      <c r="D62" s="12" t="n">
        <v>55.06</v>
      </c>
      <c r="E62" s="12" t="inlineStr">
        <is>
          <t>Input normal</t>
        </is>
      </c>
    </row>
    <row r="63">
      <c r="A63" s="12" t="n">
        <v>59</v>
      </c>
      <c r="B63" s="12" t="inlineStr">
        <is>
          <t>2026-10-03 10:00:00</t>
        </is>
      </c>
      <c r="C63" s="12" t="n">
        <v>28.69</v>
      </c>
      <c r="D63" s="12" t="n">
        <v>54.61</v>
      </c>
      <c r="E63" s="12" t="inlineStr">
        <is>
          <t>Input normal</t>
        </is>
      </c>
    </row>
    <row r="64">
      <c r="A64" s="12" t="n">
        <v>60</v>
      </c>
      <c r="B64" s="12" t="inlineStr">
        <is>
          <t>2026-10-03 11:00:00</t>
        </is>
      </c>
      <c r="C64" s="12" t="n">
        <v>28.41</v>
      </c>
      <c r="D64" s="12" t="n">
        <v>54.52</v>
      </c>
      <c r="E64" s="12" t="inlineStr">
        <is>
          <t>Input normal</t>
        </is>
      </c>
    </row>
    <row r="65">
      <c r="A65" s="12" t="n">
        <v>61</v>
      </c>
      <c r="B65" s="12" t="inlineStr">
        <is>
          <t>2026-10-03 12:00:00</t>
        </is>
      </c>
      <c r="C65" s="12" t="n">
        <v>28.21</v>
      </c>
      <c r="D65" s="12" t="n">
        <v>54.87</v>
      </c>
      <c r="E65" s="12" t="inlineStr">
        <is>
          <t>Input normal</t>
        </is>
      </c>
    </row>
    <row r="66">
      <c r="A66" s="12" t="n">
        <v>62</v>
      </c>
      <c r="B66" s="12" t="inlineStr">
        <is>
          <t>2026-10-03 13:00:00</t>
        </is>
      </c>
      <c r="C66" s="12" t="n">
        <v>28.28</v>
      </c>
      <c r="D66" s="12" t="n">
        <v>55.34</v>
      </c>
      <c r="E66" s="12" t="inlineStr">
        <is>
          <t>Input normal</t>
        </is>
      </c>
    </row>
    <row r="67">
      <c r="A67" s="12" t="n">
        <v>63</v>
      </c>
      <c r="B67" s="12" t="inlineStr">
        <is>
          <t>2026-10-03 14:00:00</t>
        </is>
      </c>
      <c r="C67" s="12" t="n">
        <v>28.55</v>
      </c>
      <c r="D67" s="12" t="n">
        <v>55.49</v>
      </c>
      <c r="E67" s="12" t="inlineStr">
        <is>
          <t>Input normal</t>
        </is>
      </c>
    </row>
    <row r="68">
      <c r="A68" s="12" t="n">
        <v>64</v>
      </c>
      <c r="B68" s="12" t="inlineStr">
        <is>
          <t>2026-10-03 15:00:00</t>
        </is>
      </c>
      <c r="C68" s="12" t="n">
        <v>28.78</v>
      </c>
      <c r="D68" s="12" t="n">
        <v>55.2</v>
      </c>
      <c r="E68" s="12" t="inlineStr">
        <is>
          <t>Input normal</t>
        </is>
      </c>
    </row>
    <row r="69">
      <c r="A69" s="12" t="n">
        <v>65</v>
      </c>
      <c r="B69" s="12" t="inlineStr">
        <is>
          <t>2026-10-03 16:00:00</t>
        </is>
      </c>
      <c r="C69" s="12" t="n">
        <v>28.75</v>
      </c>
      <c r="D69" s="12" t="n">
        <v>54.72</v>
      </c>
      <c r="E69" s="12" t="inlineStr">
        <is>
          <t>Input normal</t>
        </is>
      </c>
    </row>
    <row r="70">
      <c r="A70" s="12" t="n">
        <v>66</v>
      </c>
      <c r="B70" s="12" t="inlineStr">
        <is>
          <t>2026-10-03 17:00:00</t>
        </is>
      </c>
      <c r="C70" s="12" t="n">
        <v>28.49</v>
      </c>
      <c r="D70" s="12" t="n">
        <v>54.5</v>
      </c>
      <c r="E70" s="12" t="inlineStr">
        <is>
          <t>Input normal</t>
        </is>
      </c>
    </row>
    <row r="71">
      <c r="A71" s="12" t="n">
        <v>67</v>
      </c>
      <c r="B71" s="12" t="inlineStr">
        <is>
          <t>2026-10-03 18:00:00</t>
        </is>
      </c>
      <c r="C71" s="12" t="n">
        <v>28.24</v>
      </c>
      <c r="D71" s="12" t="n">
        <v>54.74</v>
      </c>
      <c r="E71" s="12" t="inlineStr">
        <is>
          <t>Input normal</t>
        </is>
      </c>
    </row>
    <row r="72">
      <c r="A72" s="12" t="n">
        <v>68</v>
      </c>
      <c r="B72" s="12" t="inlineStr">
        <is>
          <t>2026-10-03 19:00:00</t>
        </is>
      </c>
      <c r="C72" s="12" t="n">
        <v>28.23</v>
      </c>
      <c r="D72" s="12" t="n">
        <v>55.22</v>
      </c>
      <c r="E72" s="12" t="inlineStr">
        <is>
          <t>Input normal</t>
        </is>
      </c>
    </row>
    <row r="73">
      <c r="A73" s="12" t="n">
        <v>69</v>
      </c>
      <c r="B73" s="12" t="inlineStr">
        <is>
          <t>2026-10-03 20:00:00</t>
        </is>
      </c>
      <c r="C73" s="12" t="n">
        <v>28.47</v>
      </c>
      <c r="D73" s="12" t="n">
        <v>55.5</v>
      </c>
      <c r="E73" s="12" t="inlineStr">
        <is>
          <t>Input normal</t>
        </is>
      </c>
    </row>
    <row r="74">
      <c r="A74" s="12" t="n">
        <v>70</v>
      </c>
      <c r="B74" s="12" t="inlineStr">
        <is>
          <t>2026-10-03 21:00:00</t>
        </is>
      </c>
      <c r="C74" s="12" t="n">
        <v>28.73</v>
      </c>
      <c r="D74" s="12" t="n">
        <v>55.32</v>
      </c>
      <c r="E74" s="12" t="inlineStr">
        <is>
          <t>Input normal</t>
        </is>
      </c>
    </row>
    <row r="75">
      <c r="A75" s="12" t="n">
        <v>71</v>
      </c>
      <c r="B75" s="12" t="inlineStr">
        <is>
          <t>2026-10-03 22:00:00</t>
        </is>
      </c>
      <c r="C75" s="12" t="n">
        <v>28.79</v>
      </c>
      <c r="D75" s="12" t="n">
        <v>54.85</v>
      </c>
      <c r="E75" s="12" t="inlineStr">
        <is>
          <t>Input normal</t>
        </is>
      </c>
    </row>
    <row r="76">
      <c r="A76" s="12" t="n">
        <v>72</v>
      </c>
      <c r="B76" s="12" t="inlineStr">
        <is>
          <t>2026-10-03 23:00:00</t>
        </is>
      </c>
      <c r="C76" s="12" t="n">
        <v>28.58</v>
      </c>
      <c r="D76" s="12" t="n">
        <v>54.52</v>
      </c>
      <c r="E76" s="12" t="inlineStr">
        <is>
          <t>Input 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0" customWidth="1" min="4" max="4"/>
    <col width="28" customWidth="1" min="5" max="5"/>
    <col width="46" customWidth="1" min="6" max="6"/>
    <col width="46" customWidth="1" min="7" max="7"/>
  </cols>
  <sheetData>
    <row r="1">
      <c r="A1" s="1" t="inlineStr">
        <is>
          <t>KATALOG SKENARIO UJI STANDAR &amp; HASIL YANG DIHARAPKAN</t>
        </is>
      </c>
    </row>
    <row r="3">
      <c r="A3" s="5" t="inlineStr">
        <is>
          <t>ID</t>
        </is>
      </c>
      <c r="B3" s="5" t="inlineStr">
        <is>
          <t>Nama Skenario</t>
        </is>
      </c>
      <c r="C3" s="5" t="inlineStr">
        <is>
          <t>Tag Aset</t>
        </is>
      </c>
      <c r="D3" s="5" t="inlineStr">
        <is>
          <t>Mode Pola</t>
        </is>
      </c>
      <c r="E3" s="5" t="inlineStr">
        <is>
          <t>Parameter Kunci</t>
        </is>
      </c>
      <c r="F3" s="5" t="inlineStr">
        <is>
          <t>Hasil yang Diharapkan</t>
        </is>
      </c>
      <c r="G3" s="5" t="inlineStr">
        <is>
          <t>Tujuan Verifikasi</t>
        </is>
      </c>
    </row>
    <row r="4">
      <c r="A4" s="12" t="inlineStr">
        <is>
          <t>1</t>
        </is>
      </c>
      <c r="B4" s="8" t="inlineStr">
        <is>
          <t>sehat</t>
        </is>
      </c>
      <c r="C4" s="12" t="inlineStr">
        <is>
          <t>KO-3201</t>
        </is>
      </c>
      <c r="D4" s="12" t="inlineStr">
        <is>
          <t>datar</t>
        </is>
      </c>
      <c r="E4" s="8" t="inlineStr">
        <is>
          <t>Base: 28.5, Noise: 0.3</t>
        </is>
      </c>
      <c r="F4" s="13" t="inlineStr">
        <is>
          <t>Status NORMAL, Z-score &lt; 2.5, TTT: 'tidak ada tren menuju trip'</t>
        </is>
      </c>
      <c r="G4" s="8" t="inlineStr">
        <is>
          <t>Verifikasi zero false alarm pada kondisi operasi stabil.</t>
        </is>
      </c>
    </row>
    <row r="5">
      <c r="A5" s="12" t="inlineStr">
        <is>
          <t>2</t>
        </is>
      </c>
      <c r="B5" s="8" t="inlineStr">
        <is>
          <t>ramp_lambat</t>
        </is>
      </c>
      <c r="C5" s="12" t="inlineStr">
        <is>
          <t>KO-3201</t>
        </is>
      </c>
      <c r="D5" s="12" t="inlineStr">
        <is>
          <t>ramp</t>
        </is>
      </c>
      <c r="E5" s="8" t="inlineStr">
        <is>
          <t>Base: 28.5, Slope: 0.5/h</t>
        </is>
      </c>
      <c r="F5" s="13" t="inlineStr">
        <is>
          <t>Status EARLY WARNING saat Z &gt;= 2.5; TTT berupa rentang waktu menuju trip</t>
        </is>
      </c>
      <c r="G5" s="8" t="inlineStr">
        <is>
          <t>Verifikasi deteksi dini degradasi perlahan sebelum batas alert aturan.</t>
        </is>
      </c>
    </row>
    <row r="6">
      <c r="A6" s="12" t="inlineStr">
        <is>
          <t>3</t>
        </is>
      </c>
      <c r="B6" s="8" t="inlineStr">
        <is>
          <t>lonjakan_cepat</t>
        </is>
      </c>
      <c r="C6" s="12" t="inlineStr">
        <is>
          <t>PM-4405B</t>
        </is>
      </c>
      <c r="D6" s="12" t="inlineStr">
        <is>
          <t>lonjakan</t>
        </is>
      </c>
      <c r="E6" s="8" t="inlineStr">
        <is>
          <t>Base: 65.0, Start: Jam 48, Slope: 1.8/h</t>
        </is>
      </c>
      <c r="F6" s="13" t="inlineStr">
        <is>
          <t>Status WARNING ALERT -&gt; CRITICAL TRIP; TTT rentang sempit (&lt; 24 jam)</t>
        </is>
      </c>
      <c r="G6" s="8" t="inlineStr">
        <is>
          <t>Verifikasi respons eskalasi cepat saat degradasi agresif.</t>
        </is>
      </c>
    </row>
    <row r="7">
      <c r="A7" s="12" t="inlineStr">
        <is>
          <t>4</t>
        </is>
      </c>
      <c r="B7" s="8" t="inlineStr">
        <is>
          <t>naik_karena_beban</t>
        </is>
      </c>
      <c r="C7" s="12" t="inlineStr">
        <is>
          <t>KO-3201</t>
        </is>
      </c>
      <c r="D7" s="12" t="inlineStr">
        <is>
          <t>naik_karena_beban</t>
        </is>
      </c>
      <c r="E7" s="8" t="inlineStr">
        <is>
          <t>Base: 28.5, Load Delta: +15 T/H</t>
        </is>
      </c>
      <c r="F7" s="13" t="inlineStr">
        <is>
          <t>Status tetap NORMAL; TIDAK boleh memicu alarm degradasi</t>
        </is>
      </c>
      <c r="G7" s="8" t="inlineStr">
        <is>
          <t>Verifikasi kemampuan normalisasi beban memisahkan pengaruh laju produksi dari keausan mekanis.</t>
        </is>
      </c>
    </row>
    <row r="8">
      <c r="A8" s="12" t="inlineStr">
        <is>
          <t>5</t>
        </is>
      </c>
      <c r="B8" s="8" t="inlineStr">
        <is>
          <t>spike_noise</t>
        </is>
      </c>
      <c r="C8" s="12" t="inlineStr">
        <is>
          <t>BL-5702</t>
        </is>
      </c>
      <c r="D8" s="12" t="inlineStr">
        <is>
          <t>spike</t>
        </is>
      </c>
      <c r="E8" s="8" t="inlineStr">
        <is>
          <t>Base: 3.8, Spike: Jam 36 (+20 mm/s)</t>
        </is>
      </c>
      <c r="F8" s="13" t="inlineStr">
        <is>
          <t>Status tetap NORMAL; rolling filter meredam lonjakan 1 jam</t>
        </is>
      </c>
      <c r="G8" s="8" t="inlineStr">
        <is>
          <t>Verifikasi ketahanan terhadap noise impulsif / interferensi listrik sesaat.</t>
        </is>
      </c>
    </row>
    <row r="9">
      <c r="A9" s="12" t="inlineStr">
        <is>
          <t>6</t>
        </is>
      </c>
      <c r="B9" s="8" t="inlineStr">
        <is>
          <t>sensor_flatline</t>
        </is>
      </c>
      <c r="C9" s="12" t="inlineStr">
        <is>
          <t>HE-3301</t>
        </is>
      </c>
      <c r="D9" s="12" t="inlineStr">
        <is>
          <t>flatline</t>
        </is>
      </c>
      <c r="E9" s="8" t="inlineStr">
        <is>
          <t>Base: 9.40 (nilai konstan, 0 variansi)</t>
        </is>
      </c>
      <c r="F9" s="13" t="inlineStr">
        <is>
          <t>Status SENSOR FLATLINE; TTT: 'tidak ada tren menuju trip'</t>
        </is>
      </c>
      <c r="G9" s="8" t="inlineStr">
        <is>
          <t>Verifikasi deteksi kegagalan sensor macet / transmitter membeku.</t>
        </is>
      </c>
    </row>
    <row r="10">
      <c r="A10" s="12" t="inlineStr">
        <is>
          <t>7</t>
        </is>
      </c>
      <c r="B10" s="8" t="inlineStr">
        <is>
          <t>ml_normal_rule_trip</t>
        </is>
      </c>
      <c r="C10" s="12" t="inlineStr">
        <is>
          <t>PU-2101B</t>
        </is>
      </c>
      <c r="D10" s="12" t="inlineStr">
        <is>
          <t>lonjakan</t>
        </is>
      </c>
      <c r="E10" s="8" t="inlineStr">
        <is>
          <t>Base: 9.4, Jam 60 drop ke 3.5 barg (&lt; trip 3.8)</t>
        </is>
      </c>
      <c r="F10" s="13" t="inlineStr">
        <is>
          <t>Status CRITICAL TRIP (Rule Floor); Aturan menang mutlak</t>
        </is>
      </c>
      <c r="G10" s="8" t="inlineStr">
        <is>
          <t>Verifikasi prinsip LANTAI KESELAMATAN: status aturan tidak pernah ditekan oleh 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2026-10-04T09:36:09Z</dcterms:created>
  <dcterms:modified xsi:type="dcterms:W3CDTF">2026-10-04T09:36:09Z</dcterms:modified>
</cp:coreProperties>
</file>